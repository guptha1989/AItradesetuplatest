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techfrostcorp-my.sharepoint.com/personal/guptha_techfrost_net/Documents/Desktop/"/>
    </mc:Choice>
  </mc:AlternateContent>
  <xr:revisionPtr revIDLastSave="0" documentId="8_{E332A351-EE07-4157-AC88-A2F0C734C4D2}" xr6:coauthVersionLast="47" xr6:coauthVersionMax="47" xr10:uidLastSave="{00000000-0000-0000-0000-000000000000}"/>
  <bookViews>
    <workbookView xWindow="-108" yWindow="-108" windowWidth="23256" windowHeight="12456" tabRatio="721" activeTab="4" xr2:uid="{00000000-000D-0000-FFFF-FFFF00000000}"/>
  </bookViews>
  <sheets>
    <sheet name="Sheet1" sheetId="1" r:id="rId1"/>
    <sheet name=" Ready Made Data" sheetId="14" r:id="rId2"/>
    <sheet name="OPEN PRICE " sheetId="21" r:id="rId3"/>
    <sheet name="OPEN PRICE 2" sheetId="27" r:id="rId4"/>
    <sheet name="CLOSE PRICE" sheetId="20" r:id="rId5"/>
    <sheet name="OPEN PRICE DTA" sheetId="26" r:id="rId6"/>
    <sheet name="CLOSE PROCE DATA" sheetId="22" r:id="rId7"/>
    <sheet name="MODEL LATEST" sheetId="23" r:id="rId8"/>
  </sheets>
  <definedNames>
    <definedName name="_xlnm._FilterDatabase" localSheetId="1" hidden="1">' Ready Made Data'!$D$1:$Q$1</definedName>
    <definedName name="_xlnm._FilterDatabase" localSheetId="4" hidden="1">'CLOSE PRICE'!$C$1:$P$1</definedName>
    <definedName name="_xlnm._FilterDatabase" localSheetId="6" hidden="1">'CLOSE PROCE DATA'!$D$4:$R$4</definedName>
    <definedName name="_xlnm._FilterDatabase" localSheetId="2" hidden="1">'OPEN PRICE '!$C$1:$P$1</definedName>
    <definedName name="_xlnm._FilterDatabase" localSheetId="3" hidden="1">'OPEN PRICE 2'!$C$1:$P$1</definedName>
    <definedName name="_xlnm._FilterDatabase" localSheetId="5" hidden="1">'OPEN PRICE DTA'!$D$4:$R$4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2" i="27" l="1"/>
  <c r="L22" i="27"/>
  <c r="K22" i="27"/>
  <c r="I2" i="20" l="1"/>
  <c r="I3" i="20"/>
  <c r="I4" i="20"/>
  <c r="I5" i="20"/>
  <c r="I6" i="20"/>
  <c r="I7" i="20"/>
  <c r="I8" i="20"/>
  <c r="AE8" i="20" s="1"/>
  <c r="I9" i="20"/>
  <c r="AE9" i="20" s="1"/>
  <c r="I10" i="20"/>
  <c r="I11" i="20"/>
  <c r="AE11" i="20" s="1"/>
  <c r="I12" i="20"/>
  <c r="AE12" i="20" s="1"/>
  <c r="I13" i="20"/>
  <c r="AE13" i="20" s="1"/>
  <c r="I14" i="20"/>
  <c r="I15" i="20"/>
  <c r="AE15" i="20" s="1"/>
  <c r="I16" i="20"/>
  <c r="AE16" i="20" s="1"/>
  <c r="I17" i="20"/>
  <c r="AE17" i="20" s="1"/>
  <c r="I18" i="20"/>
  <c r="I19" i="20"/>
  <c r="AE19" i="20" s="1"/>
  <c r="I20" i="20"/>
  <c r="I21" i="20"/>
  <c r="AE21" i="20" s="1"/>
  <c r="T37" i="20"/>
  <c r="U37" i="20" s="1"/>
  <c r="R37" i="20"/>
  <c r="S37" i="20" s="1"/>
  <c r="Q37" i="20"/>
  <c r="I37" i="20"/>
  <c r="T36" i="20"/>
  <c r="U36" i="20" s="1"/>
  <c r="R36" i="20"/>
  <c r="S36" i="20" s="1"/>
  <c r="Q36" i="20"/>
  <c r="I36" i="20"/>
  <c r="T35" i="20"/>
  <c r="U35" i="20" s="1"/>
  <c r="R35" i="20"/>
  <c r="S35" i="20" s="1"/>
  <c r="Q35" i="20"/>
  <c r="I35" i="20"/>
  <c r="T34" i="20"/>
  <c r="U34" i="20" s="1"/>
  <c r="R34" i="20"/>
  <c r="S34" i="20" s="1"/>
  <c r="Q34" i="20"/>
  <c r="I34" i="20"/>
  <c r="T33" i="20"/>
  <c r="U33" i="20" s="1"/>
  <c r="R33" i="20"/>
  <c r="S33" i="20" s="1"/>
  <c r="Q33" i="20"/>
  <c r="I33" i="20"/>
  <c r="T32" i="20"/>
  <c r="U32" i="20" s="1"/>
  <c r="R32" i="20"/>
  <c r="S32" i="20" s="1"/>
  <c r="Q32" i="20"/>
  <c r="I32" i="20"/>
  <c r="AI31" i="20"/>
  <c r="AD31" i="20"/>
  <c r="Z31" i="20"/>
  <c r="Y31" i="20"/>
  <c r="T31" i="20"/>
  <c r="U31" i="20" s="1"/>
  <c r="R31" i="20"/>
  <c r="S31" i="20" s="1"/>
  <c r="Q31" i="20"/>
  <c r="O31" i="20"/>
  <c r="M31" i="20"/>
  <c r="AH31" i="20" s="1"/>
  <c r="L31" i="20"/>
  <c r="AG31" i="20" s="1"/>
  <c r="K31" i="20"/>
  <c r="AF31" i="20" s="1"/>
  <c r="J31" i="20"/>
  <c r="AC31" i="20" s="1"/>
  <c r="I31" i="20"/>
  <c r="AE31" i="20" s="1"/>
  <c r="AI30" i="20"/>
  <c r="AD30" i="20"/>
  <c r="Y30" i="20"/>
  <c r="X30" i="20"/>
  <c r="T30" i="20"/>
  <c r="U30" i="20" s="1"/>
  <c r="R30" i="20"/>
  <c r="S30" i="20" s="1"/>
  <c r="Q30" i="20"/>
  <c r="O30" i="20"/>
  <c r="M30" i="20"/>
  <c r="AH30" i="20" s="1"/>
  <c r="L30" i="20"/>
  <c r="AG30" i="20" s="1"/>
  <c r="K30" i="20"/>
  <c r="AF30" i="20" s="1"/>
  <c r="J30" i="20"/>
  <c r="AC30" i="20" s="1"/>
  <c r="I30" i="20"/>
  <c r="AE30" i="20" s="1"/>
  <c r="AD29" i="20"/>
  <c r="Z29" i="20"/>
  <c r="Y29" i="20"/>
  <c r="T29" i="20"/>
  <c r="U29" i="20" s="1"/>
  <c r="R29" i="20"/>
  <c r="S29" i="20" s="1"/>
  <c r="Q29" i="20"/>
  <c r="P29" i="20"/>
  <c r="O29" i="20"/>
  <c r="N29" i="20"/>
  <c r="AI29" i="20" s="1"/>
  <c r="M29" i="20"/>
  <c r="AH29" i="20" s="1"/>
  <c r="L29" i="20"/>
  <c r="AG29" i="20" s="1"/>
  <c r="K29" i="20"/>
  <c r="AF29" i="20" s="1"/>
  <c r="J29" i="20"/>
  <c r="AC29" i="20" s="1"/>
  <c r="I29" i="20"/>
  <c r="AE29" i="20" s="1"/>
  <c r="AD28" i="20"/>
  <c r="Y28" i="20"/>
  <c r="X28" i="20"/>
  <c r="T28" i="20"/>
  <c r="U28" i="20" s="1"/>
  <c r="R28" i="20"/>
  <c r="S28" i="20" s="1"/>
  <c r="Q28" i="20"/>
  <c r="P28" i="20"/>
  <c r="O28" i="20"/>
  <c r="N28" i="20"/>
  <c r="AI28" i="20" s="1"/>
  <c r="M28" i="20"/>
  <c r="AH28" i="20" s="1"/>
  <c r="L28" i="20"/>
  <c r="AG28" i="20" s="1"/>
  <c r="K28" i="20"/>
  <c r="AF28" i="20" s="1"/>
  <c r="J28" i="20"/>
  <c r="AC28" i="20" s="1"/>
  <c r="I28" i="20"/>
  <c r="AE28" i="20" s="1"/>
  <c r="AD27" i="20"/>
  <c r="Z27" i="20"/>
  <c r="Y27" i="20"/>
  <c r="T27" i="20"/>
  <c r="U27" i="20" s="1"/>
  <c r="R27" i="20"/>
  <c r="S27" i="20" s="1"/>
  <c r="Q27" i="20"/>
  <c r="P27" i="20"/>
  <c r="O27" i="20"/>
  <c r="N27" i="20"/>
  <c r="AI27" i="20" s="1"/>
  <c r="M27" i="20"/>
  <c r="AH27" i="20" s="1"/>
  <c r="L27" i="20"/>
  <c r="AG27" i="20" s="1"/>
  <c r="K27" i="20"/>
  <c r="AF27" i="20" s="1"/>
  <c r="J27" i="20"/>
  <c r="AC27" i="20" s="1"/>
  <c r="I27" i="20"/>
  <c r="AE27" i="20" s="1"/>
  <c r="AD26" i="20"/>
  <c r="Y26" i="20"/>
  <c r="X26" i="20"/>
  <c r="T26" i="20"/>
  <c r="U26" i="20" s="1"/>
  <c r="R26" i="20"/>
  <c r="S26" i="20" s="1"/>
  <c r="Q26" i="20"/>
  <c r="P26" i="20"/>
  <c r="O26" i="20"/>
  <c r="N26" i="20"/>
  <c r="AI26" i="20" s="1"/>
  <c r="M26" i="20"/>
  <c r="AH26" i="20" s="1"/>
  <c r="L26" i="20"/>
  <c r="AG26" i="20" s="1"/>
  <c r="K26" i="20"/>
  <c r="AF26" i="20" s="1"/>
  <c r="J26" i="20"/>
  <c r="AC26" i="20" s="1"/>
  <c r="I26" i="20"/>
  <c r="AE26" i="20" s="1"/>
  <c r="AD25" i="20"/>
  <c r="Z25" i="20"/>
  <c r="Y25" i="20"/>
  <c r="T25" i="20"/>
  <c r="U25" i="20" s="1"/>
  <c r="R25" i="20"/>
  <c r="S25" i="20" s="1"/>
  <c r="Q25" i="20"/>
  <c r="P25" i="20"/>
  <c r="O25" i="20"/>
  <c r="N25" i="20"/>
  <c r="AI25" i="20" s="1"/>
  <c r="M25" i="20"/>
  <c r="AH25" i="20" s="1"/>
  <c r="L25" i="20"/>
  <c r="AG25" i="20" s="1"/>
  <c r="K25" i="20"/>
  <c r="AF25" i="20" s="1"/>
  <c r="J25" i="20"/>
  <c r="AC25" i="20" s="1"/>
  <c r="I25" i="20"/>
  <c r="AE25" i="20" s="1"/>
  <c r="AD24" i="20"/>
  <c r="Y24" i="20"/>
  <c r="X24" i="20"/>
  <c r="T24" i="20"/>
  <c r="U24" i="20" s="1"/>
  <c r="R24" i="20"/>
  <c r="S24" i="20" s="1"/>
  <c r="Q24" i="20"/>
  <c r="P24" i="20"/>
  <c r="O24" i="20"/>
  <c r="N24" i="20"/>
  <c r="AI24" i="20" s="1"/>
  <c r="M24" i="20"/>
  <c r="AH24" i="20" s="1"/>
  <c r="L24" i="20"/>
  <c r="AG24" i="20" s="1"/>
  <c r="K24" i="20"/>
  <c r="AF24" i="20" s="1"/>
  <c r="J24" i="20"/>
  <c r="AC24" i="20" s="1"/>
  <c r="I24" i="20"/>
  <c r="AE24" i="20" s="1"/>
  <c r="AD23" i="20"/>
  <c r="Z23" i="20"/>
  <c r="Y23" i="20"/>
  <c r="T23" i="20"/>
  <c r="U23" i="20" s="1"/>
  <c r="R23" i="20"/>
  <c r="S23" i="20" s="1"/>
  <c r="Q23" i="20"/>
  <c r="P23" i="20"/>
  <c r="O23" i="20"/>
  <c r="N23" i="20"/>
  <c r="AI23" i="20" s="1"/>
  <c r="M23" i="20"/>
  <c r="AH23" i="20" s="1"/>
  <c r="L23" i="20"/>
  <c r="AG23" i="20" s="1"/>
  <c r="K23" i="20"/>
  <c r="AF23" i="20" s="1"/>
  <c r="J23" i="20"/>
  <c r="AC23" i="20" s="1"/>
  <c r="I23" i="20"/>
  <c r="AE23" i="20" s="1"/>
  <c r="AD22" i="20"/>
  <c r="Y22" i="20"/>
  <c r="X22" i="20"/>
  <c r="T22" i="20"/>
  <c r="U22" i="20" s="1"/>
  <c r="R22" i="20"/>
  <c r="S22" i="20" s="1"/>
  <c r="Q22" i="20"/>
  <c r="P22" i="20"/>
  <c r="O22" i="20"/>
  <c r="N22" i="20"/>
  <c r="AI22" i="20" s="1"/>
  <c r="M22" i="20"/>
  <c r="AH22" i="20" s="1"/>
  <c r="L22" i="20"/>
  <c r="AG22" i="20" s="1"/>
  <c r="K22" i="20"/>
  <c r="AF22" i="20" s="1"/>
  <c r="I22" i="20"/>
  <c r="AE22" i="20" s="1"/>
  <c r="AD21" i="20"/>
  <c r="Y21" i="20"/>
  <c r="X21" i="20"/>
  <c r="T21" i="20"/>
  <c r="U21" i="20" s="1"/>
  <c r="R21" i="20"/>
  <c r="S21" i="20" s="1"/>
  <c r="Q21" i="20"/>
  <c r="P21" i="20"/>
  <c r="O21" i="20"/>
  <c r="N21" i="20"/>
  <c r="AI21" i="20" s="1"/>
  <c r="M21" i="20"/>
  <c r="AH21" i="20" s="1"/>
  <c r="L21" i="20"/>
  <c r="AG21" i="20" s="1"/>
  <c r="K21" i="20"/>
  <c r="AF21" i="20" s="1"/>
  <c r="J21" i="20"/>
  <c r="AC21" i="20" s="1"/>
  <c r="AE20" i="20"/>
  <c r="AD20" i="20"/>
  <c r="Z20" i="20"/>
  <c r="Y20" i="20"/>
  <c r="T20" i="20"/>
  <c r="U20" i="20" s="1"/>
  <c r="R20" i="20"/>
  <c r="S20" i="20" s="1"/>
  <c r="Q20" i="20"/>
  <c r="P20" i="20"/>
  <c r="O20" i="20"/>
  <c r="N20" i="20"/>
  <c r="AI20" i="20" s="1"/>
  <c r="M20" i="20"/>
  <c r="AH20" i="20" s="1"/>
  <c r="L20" i="20"/>
  <c r="AG20" i="20" s="1"/>
  <c r="K20" i="20"/>
  <c r="AF20" i="20" s="1"/>
  <c r="J20" i="20"/>
  <c r="AC20" i="20" s="1"/>
  <c r="AD19" i="20"/>
  <c r="Y19" i="20"/>
  <c r="X19" i="20"/>
  <c r="T19" i="20"/>
  <c r="U19" i="20" s="1"/>
  <c r="R19" i="20"/>
  <c r="S19" i="20" s="1"/>
  <c r="Q19" i="20"/>
  <c r="P19" i="20"/>
  <c r="O19" i="20"/>
  <c r="N19" i="20"/>
  <c r="AI19" i="20" s="1"/>
  <c r="M19" i="20"/>
  <c r="AH19" i="20" s="1"/>
  <c r="L19" i="20"/>
  <c r="AG19" i="20" s="1"/>
  <c r="K19" i="20"/>
  <c r="AF19" i="20" s="1"/>
  <c r="J19" i="20"/>
  <c r="AC19" i="20" s="1"/>
  <c r="AE18" i="20"/>
  <c r="AD18" i="20"/>
  <c r="Z18" i="20"/>
  <c r="Y18" i="20"/>
  <c r="T18" i="20"/>
  <c r="U18" i="20" s="1"/>
  <c r="R18" i="20"/>
  <c r="S18" i="20" s="1"/>
  <c r="Q18" i="20"/>
  <c r="P18" i="20"/>
  <c r="O18" i="20"/>
  <c r="N18" i="20"/>
  <c r="AI18" i="20" s="1"/>
  <c r="M18" i="20"/>
  <c r="AH18" i="20" s="1"/>
  <c r="L18" i="20"/>
  <c r="AG18" i="20" s="1"/>
  <c r="K18" i="20"/>
  <c r="AF18" i="20" s="1"/>
  <c r="J18" i="20"/>
  <c r="AC18" i="20" s="1"/>
  <c r="AD17" i="20"/>
  <c r="Y17" i="20"/>
  <c r="X17" i="20"/>
  <c r="T17" i="20"/>
  <c r="U17" i="20" s="1"/>
  <c r="R17" i="20"/>
  <c r="S17" i="20" s="1"/>
  <c r="Q17" i="20"/>
  <c r="P17" i="20"/>
  <c r="O17" i="20"/>
  <c r="N17" i="20"/>
  <c r="AI17" i="20" s="1"/>
  <c r="M17" i="20"/>
  <c r="AH17" i="20" s="1"/>
  <c r="L17" i="20"/>
  <c r="AG17" i="20" s="1"/>
  <c r="K17" i="20"/>
  <c r="AF17" i="20" s="1"/>
  <c r="J17" i="20"/>
  <c r="AC17" i="20" s="1"/>
  <c r="AD16" i="20"/>
  <c r="Z16" i="20"/>
  <c r="Y16" i="20"/>
  <c r="T16" i="20"/>
  <c r="U16" i="20" s="1"/>
  <c r="R16" i="20"/>
  <c r="S16" i="20" s="1"/>
  <c r="Q16" i="20"/>
  <c r="P16" i="20"/>
  <c r="O16" i="20"/>
  <c r="N16" i="20"/>
  <c r="AI16" i="20" s="1"/>
  <c r="M16" i="20"/>
  <c r="AH16" i="20" s="1"/>
  <c r="L16" i="20"/>
  <c r="AG16" i="20" s="1"/>
  <c r="K16" i="20"/>
  <c r="AF16" i="20" s="1"/>
  <c r="J16" i="20"/>
  <c r="AC16" i="20" s="1"/>
  <c r="AD15" i="20"/>
  <c r="Y15" i="20"/>
  <c r="X15" i="20"/>
  <c r="T15" i="20"/>
  <c r="U15" i="20" s="1"/>
  <c r="R15" i="20"/>
  <c r="S15" i="20" s="1"/>
  <c r="Q15" i="20"/>
  <c r="P15" i="20"/>
  <c r="O15" i="20"/>
  <c r="N15" i="20"/>
  <c r="AI15" i="20" s="1"/>
  <c r="M15" i="20"/>
  <c r="AH15" i="20" s="1"/>
  <c r="L15" i="20"/>
  <c r="AG15" i="20" s="1"/>
  <c r="K15" i="20"/>
  <c r="AF15" i="20" s="1"/>
  <c r="J15" i="20"/>
  <c r="AC15" i="20" s="1"/>
  <c r="AD14" i="20"/>
  <c r="Z14" i="20"/>
  <c r="Y14" i="20"/>
  <c r="T14" i="20"/>
  <c r="U14" i="20" s="1"/>
  <c r="R14" i="20"/>
  <c r="S14" i="20" s="1"/>
  <c r="Q14" i="20"/>
  <c r="P14" i="20"/>
  <c r="O14" i="20"/>
  <c r="N14" i="20"/>
  <c r="AI14" i="20" s="1"/>
  <c r="M14" i="20"/>
  <c r="AH14" i="20" s="1"/>
  <c r="L14" i="20"/>
  <c r="AG14" i="20" s="1"/>
  <c r="K14" i="20"/>
  <c r="AF14" i="20" s="1"/>
  <c r="J14" i="20"/>
  <c r="AC14" i="20" s="1"/>
  <c r="AE14" i="20"/>
  <c r="AD13" i="20"/>
  <c r="Y13" i="20"/>
  <c r="X13" i="20"/>
  <c r="T13" i="20"/>
  <c r="U13" i="20" s="1"/>
  <c r="R13" i="20"/>
  <c r="S13" i="20" s="1"/>
  <c r="Q13" i="20"/>
  <c r="P13" i="20"/>
  <c r="O13" i="20"/>
  <c r="N13" i="20"/>
  <c r="AI13" i="20" s="1"/>
  <c r="M13" i="20"/>
  <c r="AH13" i="20" s="1"/>
  <c r="L13" i="20"/>
  <c r="AG13" i="20" s="1"/>
  <c r="K13" i="20"/>
  <c r="AF13" i="20" s="1"/>
  <c r="J13" i="20"/>
  <c r="AC13" i="20" s="1"/>
  <c r="AD12" i="20"/>
  <c r="Z12" i="20"/>
  <c r="Y12" i="20"/>
  <c r="T12" i="20"/>
  <c r="U12" i="20" s="1"/>
  <c r="R12" i="20"/>
  <c r="S12" i="20" s="1"/>
  <c r="Q12" i="20"/>
  <c r="P12" i="20"/>
  <c r="O12" i="20"/>
  <c r="N12" i="20"/>
  <c r="AI12" i="20" s="1"/>
  <c r="M12" i="20"/>
  <c r="AH12" i="20" s="1"/>
  <c r="L12" i="20"/>
  <c r="AG12" i="20" s="1"/>
  <c r="K12" i="20"/>
  <c r="AF12" i="20" s="1"/>
  <c r="J12" i="20"/>
  <c r="AC12" i="20" s="1"/>
  <c r="AD11" i="20"/>
  <c r="Y11" i="20"/>
  <c r="X11" i="20"/>
  <c r="T11" i="20"/>
  <c r="U11" i="20" s="1"/>
  <c r="R11" i="20"/>
  <c r="S11" i="20" s="1"/>
  <c r="Q11" i="20"/>
  <c r="P11" i="20"/>
  <c r="O11" i="20"/>
  <c r="N11" i="20"/>
  <c r="AI11" i="20" s="1"/>
  <c r="M11" i="20"/>
  <c r="AH11" i="20" s="1"/>
  <c r="L11" i="20"/>
  <c r="AG11" i="20" s="1"/>
  <c r="K11" i="20"/>
  <c r="AF11" i="20" s="1"/>
  <c r="J11" i="20"/>
  <c r="AC11" i="20" s="1"/>
  <c r="AD10" i="20"/>
  <c r="Z10" i="20"/>
  <c r="Y10" i="20"/>
  <c r="T10" i="20"/>
  <c r="U10" i="20" s="1"/>
  <c r="R10" i="20"/>
  <c r="S10" i="20" s="1"/>
  <c r="Q10" i="20"/>
  <c r="P10" i="20"/>
  <c r="O10" i="20"/>
  <c r="N10" i="20"/>
  <c r="AI10" i="20" s="1"/>
  <c r="M10" i="20"/>
  <c r="AH10" i="20" s="1"/>
  <c r="L10" i="20"/>
  <c r="AG10" i="20" s="1"/>
  <c r="K10" i="20"/>
  <c r="AF10" i="20" s="1"/>
  <c r="J10" i="20"/>
  <c r="AC10" i="20" s="1"/>
  <c r="AE10" i="20"/>
  <c r="AI9" i="20"/>
  <c r="AD9" i="20"/>
  <c r="Y9" i="20"/>
  <c r="X9" i="20"/>
  <c r="T9" i="20"/>
  <c r="U9" i="20" s="1"/>
  <c r="R9" i="20"/>
  <c r="S9" i="20" s="1"/>
  <c r="Q9" i="20"/>
  <c r="O9" i="20"/>
  <c r="M9" i="20"/>
  <c r="AH9" i="20" s="1"/>
  <c r="L9" i="20"/>
  <c r="AG9" i="20" s="1"/>
  <c r="K9" i="20"/>
  <c r="AF9" i="20" s="1"/>
  <c r="J9" i="20"/>
  <c r="AC9" i="20" s="1"/>
  <c r="AI8" i="20"/>
  <c r="AD8" i="20"/>
  <c r="Z8" i="20"/>
  <c r="Y8" i="20"/>
  <c r="T8" i="20"/>
  <c r="U8" i="20" s="1"/>
  <c r="R8" i="20"/>
  <c r="S8" i="20" s="1"/>
  <c r="Q8" i="20"/>
  <c r="O8" i="20"/>
  <c r="M8" i="20"/>
  <c r="AH8" i="20" s="1"/>
  <c r="L8" i="20"/>
  <c r="AG8" i="20" s="1"/>
  <c r="K8" i="20"/>
  <c r="AF8" i="20" s="1"/>
  <c r="J8" i="20"/>
  <c r="AC8" i="20" s="1"/>
  <c r="T7" i="20"/>
  <c r="U7" i="20" s="1"/>
  <c r="R7" i="20"/>
  <c r="S7" i="20" s="1"/>
  <c r="Q7" i="20"/>
  <c r="T6" i="20"/>
  <c r="U6" i="20" s="1"/>
  <c r="R6" i="20"/>
  <c r="S6" i="20" s="1"/>
  <c r="Q6" i="20"/>
  <c r="T5" i="20"/>
  <c r="U5" i="20" s="1"/>
  <c r="R5" i="20"/>
  <c r="S5" i="20" s="1"/>
  <c r="Q5" i="20"/>
  <c r="T4" i="20"/>
  <c r="U4" i="20" s="1"/>
  <c r="R4" i="20"/>
  <c r="S4" i="20" s="1"/>
  <c r="Q4" i="20"/>
  <c r="T3" i="20"/>
  <c r="U3" i="20" s="1"/>
  <c r="R3" i="20"/>
  <c r="S3" i="20" s="1"/>
  <c r="Q3" i="20"/>
  <c r="Q2" i="20"/>
  <c r="AN21" i="20" l="1"/>
  <c r="J22" i="20"/>
  <c r="AC22" i="20" s="1"/>
  <c r="AS21" i="20"/>
  <c r="AM21" i="20"/>
  <c r="AQ21" i="20"/>
  <c r="AO21" i="20"/>
  <c r="AP21" i="20"/>
  <c r="AR21" i="20"/>
  <c r="T37" i="27"/>
  <c r="U37" i="27" s="1"/>
  <c r="R37" i="27"/>
  <c r="S37" i="27" s="1"/>
  <c r="Q37" i="27"/>
  <c r="I37" i="27"/>
  <c r="T36" i="27"/>
  <c r="U36" i="27" s="1"/>
  <c r="R36" i="27"/>
  <c r="S36" i="27" s="1"/>
  <c r="Q36" i="27"/>
  <c r="I36" i="27"/>
  <c r="T35" i="27"/>
  <c r="U35" i="27" s="1"/>
  <c r="R35" i="27"/>
  <c r="S35" i="27" s="1"/>
  <c r="Q35" i="27"/>
  <c r="I35" i="27"/>
  <c r="T34" i="27"/>
  <c r="U34" i="27" s="1"/>
  <c r="R34" i="27"/>
  <c r="S34" i="27" s="1"/>
  <c r="Q34" i="27"/>
  <c r="I34" i="27"/>
  <c r="T33" i="27"/>
  <c r="U33" i="27" s="1"/>
  <c r="R33" i="27"/>
  <c r="S33" i="27" s="1"/>
  <c r="Q33" i="27"/>
  <c r="I33" i="27"/>
  <c r="T32" i="27"/>
  <c r="U32" i="27" s="1"/>
  <c r="R32" i="27"/>
  <c r="S32" i="27" s="1"/>
  <c r="Q32" i="27"/>
  <c r="I32" i="27"/>
  <c r="AI31" i="27"/>
  <c r="AD31" i="27"/>
  <c r="Z31" i="27"/>
  <c r="Y31" i="27"/>
  <c r="T31" i="27"/>
  <c r="U31" i="27" s="1"/>
  <c r="R31" i="27"/>
  <c r="S31" i="27" s="1"/>
  <c r="Q31" i="27"/>
  <c r="O31" i="27"/>
  <c r="M31" i="27"/>
  <c r="AH31" i="27" s="1"/>
  <c r="L31" i="27"/>
  <c r="AG31" i="27" s="1"/>
  <c r="K31" i="27"/>
  <c r="AF31" i="27" s="1"/>
  <c r="J31" i="27"/>
  <c r="AC31" i="27" s="1"/>
  <c r="I31" i="27"/>
  <c r="AE31" i="27" s="1"/>
  <c r="AI30" i="27"/>
  <c r="AD30" i="27"/>
  <c r="Y30" i="27"/>
  <c r="X30" i="27"/>
  <c r="T30" i="27"/>
  <c r="U30" i="27" s="1"/>
  <c r="R30" i="27"/>
  <c r="S30" i="27" s="1"/>
  <c r="Q30" i="27"/>
  <c r="O30" i="27"/>
  <c r="M30" i="27"/>
  <c r="AH30" i="27" s="1"/>
  <c r="L30" i="27"/>
  <c r="AG30" i="27" s="1"/>
  <c r="K30" i="27"/>
  <c r="AF30" i="27" s="1"/>
  <c r="J30" i="27"/>
  <c r="AC30" i="27" s="1"/>
  <c r="I30" i="27"/>
  <c r="AE30" i="27" s="1"/>
  <c r="AD29" i="27"/>
  <c r="Z29" i="27"/>
  <c r="Y29" i="27"/>
  <c r="T29" i="27"/>
  <c r="U29" i="27" s="1"/>
  <c r="R29" i="27"/>
  <c r="S29" i="27" s="1"/>
  <c r="Q29" i="27"/>
  <c r="P29" i="27"/>
  <c r="O29" i="27"/>
  <c r="N29" i="27"/>
  <c r="AI29" i="27" s="1"/>
  <c r="M29" i="27"/>
  <c r="AH29" i="27" s="1"/>
  <c r="L29" i="27"/>
  <c r="AG29" i="27" s="1"/>
  <c r="K29" i="27"/>
  <c r="AF29" i="27" s="1"/>
  <c r="J29" i="27"/>
  <c r="AC29" i="27" s="1"/>
  <c r="I29" i="27"/>
  <c r="AE29" i="27" s="1"/>
  <c r="AD28" i="27"/>
  <c r="Y28" i="27"/>
  <c r="X28" i="27"/>
  <c r="T28" i="27"/>
  <c r="U28" i="27" s="1"/>
  <c r="R28" i="27"/>
  <c r="S28" i="27" s="1"/>
  <c r="Q28" i="27"/>
  <c r="P28" i="27"/>
  <c r="O28" i="27"/>
  <c r="N28" i="27"/>
  <c r="AI28" i="27" s="1"/>
  <c r="M28" i="27"/>
  <c r="AH28" i="27" s="1"/>
  <c r="L28" i="27"/>
  <c r="AG28" i="27" s="1"/>
  <c r="K28" i="27"/>
  <c r="AF28" i="27" s="1"/>
  <c r="J28" i="27"/>
  <c r="AC28" i="27" s="1"/>
  <c r="I28" i="27"/>
  <c r="AE28" i="27" s="1"/>
  <c r="AD27" i="27"/>
  <c r="Z27" i="27"/>
  <c r="Y27" i="27"/>
  <c r="T27" i="27"/>
  <c r="U27" i="27" s="1"/>
  <c r="R27" i="27"/>
  <c r="S27" i="27" s="1"/>
  <c r="Q27" i="27"/>
  <c r="P27" i="27"/>
  <c r="O27" i="27"/>
  <c r="N27" i="27"/>
  <c r="AI27" i="27" s="1"/>
  <c r="M27" i="27"/>
  <c r="AH27" i="27" s="1"/>
  <c r="L27" i="27"/>
  <c r="AG27" i="27" s="1"/>
  <c r="K27" i="27"/>
  <c r="AF27" i="27" s="1"/>
  <c r="J27" i="27"/>
  <c r="AC27" i="27" s="1"/>
  <c r="I27" i="27"/>
  <c r="AE27" i="27" s="1"/>
  <c r="AD26" i="27"/>
  <c r="Y26" i="27"/>
  <c r="X26" i="27"/>
  <c r="T26" i="27"/>
  <c r="U26" i="27" s="1"/>
  <c r="R26" i="27"/>
  <c r="S26" i="27" s="1"/>
  <c r="Q26" i="27"/>
  <c r="P26" i="27"/>
  <c r="O26" i="27"/>
  <c r="N26" i="27"/>
  <c r="AI26" i="27" s="1"/>
  <c r="M26" i="27"/>
  <c r="AH26" i="27" s="1"/>
  <c r="L26" i="27"/>
  <c r="AG26" i="27" s="1"/>
  <c r="K26" i="27"/>
  <c r="AF26" i="27" s="1"/>
  <c r="J26" i="27"/>
  <c r="AC26" i="27" s="1"/>
  <c r="I26" i="27"/>
  <c r="AE26" i="27" s="1"/>
  <c r="AD25" i="27"/>
  <c r="Z25" i="27"/>
  <c r="Y25" i="27"/>
  <c r="T25" i="27"/>
  <c r="U25" i="27" s="1"/>
  <c r="R25" i="27"/>
  <c r="S25" i="27" s="1"/>
  <c r="Q25" i="27"/>
  <c r="P25" i="27"/>
  <c r="O25" i="27"/>
  <c r="N25" i="27"/>
  <c r="AI25" i="27" s="1"/>
  <c r="M25" i="27"/>
  <c r="AH25" i="27" s="1"/>
  <c r="L25" i="27"/>
  <c r="AG25" i="27" s="1"/>
  <c r="K25" i="27"/>
  <c r="AF25" i="27" s="1"/>
  <c r="J25" i="27"/>
  <c r="AC25" i="27" s="1"/>
  <c r="I25" i="27"/>
  <c r="AE25" i="27" s="1"/>
  <c r="AD24" i="27"/>
  <c r="Y24" i="27"/>
  <c r="X24" i="27"/>
  <c r="T24" i="27"/>
  <c r="U24" i="27" s="1"/>
  <c r="R24" i="27"/>
  <c r="S24" i="27" s="1"/>
  <c r="Q24" i="27"/>
  <c r="P24" i="27"/>
  <c r="O24" i="27"/>
  <c r="N24" i="27"/>
  <c r="AI24" i="27" s="1"/>
  <c r="M24" i="27"/>
  <c r="AH24" i="27" s="1"/>
  <c r="L24" i="27"/>
  <c r="AG24" i="27" s="1"/>
  <c r="K24" i="27"/>
  <c r="AF24" i="27" s="1"/>
  <c r="J24" i="27"/>
  <c r="AC24" i="27" s="1"/>
  <c r="I24" i="27"/>
  <c r="AE24" i="27" s="1"/>
  <c r="AD23" i="27"/>
  <c r="Z23" i="27"/>
  <c r="Y23" i="27"/>
  <c r="T23" i="27"/>
  <c r="U23" i="27" s="1"/>
  <c r="R23" i="27"/>
  <c r="S23" i="27" s="1"/>
  <c r="Q23" i="27"/>
  <c r="P23" i="27"/>
  <c r="O23" i="27"/>
  <c r="N23" i="27"/>
  <c r="AI23" i="27" s="1"/>
  <c r="M23" i="27"/>
  <c r="AH23" i="27" s="1"/>
  <c r="L23" i="27"/>
  <c r="AG23" i="27" s="1"/>
  <c r="K23" i="27"/>
  <c r="AF23" i="27" s="1"/>
  <c r="J23" i="27"/>
  <c r="I23" i="27"/>
  <c r="AE23" i="27" s="1"/>
  <c r="AD22" i="27"/>
  <c r="Y22" i="27"/>
  <c r="X22" i="27"/>
  <c r="T22" i="27"/>
  <c r="U22" i="27" s="1"/>
  <c r="R22" i="27"/>
  <c r="S22" i="27" s="1"/>
  <c r="Q22" i="27"/>
  <c r="P22" i="27"/>
  <c r="O22" i="27"/>
  <c r="N22" i="27"/>
  <c r="AI22" i="27" s="1"/>
  <c r="AH22" i="27"/>
  <c r="AG22" i="27"/>
  <c r="AF22" i="27"/>
  <c r="I22" i="27"/>
  <c r="AE22" i="27" s="1"/>
  <c r="AD21" i="27"/>
  <c r="Y21" i="27"/>
  <c r="X21" i="27"/>
  <c r="T21" i="27"/>
  <c r="U21" i="27" s="1"/>
  <c r="R21" i="27"/>
  <c r="S21" i="27" s="1"/>
  <c r="Q21" i="27"/>
  <c r="P21" i="27"/>
  <c r="O21" i="27"/>
  <c r="N21" i="27"/>
  <c r="AI21" i="27" s="1"/>
  <c r="M21" i="27"/>
  <c r="AH21" i="27" s="1"/>
  <c r="L21" i="27"/>
  <c r="AG21" i="27" s="1"/>
  <c r="K21" i="27"/>
  <c r="AF21" i="27" s="1"/>
  <c r="J21" i="27"/>
  <c r="AC21" i="27" s="1"/>
  <c r="I21" i="27"/>
  <c r="AE21" i="27" s="1"/>
  <c r="AD20" i="27"/>
  <c r="Z20" i="27"/>
  <c r="Y20" i="27"/>
  <c r="T20" i="27"/>
  <c r="U20" i="27" s="1"/>
  <c r="R20" i="27"/>
  <c r="S20" i="27" s="1"/>
  <c r="Q20" i="27"/>
  <c r="P20" i="27"/>
  <c r="O20" i="27"/>
  <c r="N20" i="27"/>
  <c r="AI20" i="27" s="1"/>
  <c r="M20" i="27"/>
  <c r="AH20" i="27" s="1"/>
  <c r="L20" i="27"/>
  <c r="AG20" i="27" s="1"/>
  <c r="K20" i="27"/>
  <c r="AF20" i="27" s="1"/>
  <c r="J20" i="27"/>
  <c r="AC20" i="27" s="1"/>
  <c r="I20" i="27"/>
  <c r="AE20" i="27" s="1"/>
  <c r="AD19" i="27"/>
  <c r="Y19" i="27"/>
  <c r="X19" i="27"/>
  <c r="T19" i="27"/>
  <c r="U19" i="27" s="1"/>
  <c r="R19" i="27"/>
  <c r="S19" i="27" s="1"/>
  <c r="Q19" i="27"/>
  <c r="P19" i="27"/>
  <c r="O19" i="27"/>
  <c r="N19" i="27"/>
  <c r="AI19" i="27" s="1"/>
  <c r="M19" i="27"/>
  <c r="AH19" i="27" s="1"/>
  <c r="L19" i="27"/>
  <c r="AG19" i="27" s="1"/>
  <c r="K19" i="27"/>
  <c r="AF19" i="27" s="1"/>
  <c r="J19" i="27"/>
  <c r="AC19" i="27" s="1"/>
  <c r="I19" i="27"/>
  <c r="AE19" i="27" s="1"/>
  <c r="AD18" i="27"/>
  <c r="Z18" i="27"/>
  <c r="Y18" i="27"/>
  <c r="T18" i="27"/>
  <c r="U18" i="27" s="1"/>
  <c r="R18" i="27"/>
  <c r="S18" i="27" s="1"/>
  <c r="Q18" i="27"/>
  <c r="P18" i="27"/>
  <c r="O18" i="27"/>
  <c r="N18" i="27"/>
  <c r="AI18" i="27" s="1"/>
  <c r="M18" i="27"/>
  <c r="AH18" i="27" s="1"/>
  <c r="L18" i="27"/>
  <c r="AG18" i="27" s="1"/>
  <c r="K18" i="27"/>
  <c r="AF18" i="27" s="1"/>
  <c r="J18" i="27"/>
  <c r="AC18" i="27" s="1"/>
  <c r="I18" i="27"/>
  <c r="AE18" i="27" s="1"/>
  <c r="AD17" i="27"/>
  <c r="Y17" i="27"/>
  <c r="X17" i="27"/>
  <c r="T17" i="27"/>
  <c r="U17" i="27" s="1"/>
  <c r="R17" i="27"/>
  <c r="S17" i="27" s="1"/>
  <c r="Q17" i="27"/>
  <c r="P17" i="27"/>
  <c r="O17" i="27"/>
  <c r="N17" i="27"/>
  <c r="AI17" i="27" s="1"/>
  <c r="M17" i="27"/>
  <c r="AH17" i="27" s="1"/>
  <c r="L17" i="27"/>
  <c r="AG17" i="27" s="1"/>
  <c r="K17" i="27"/>
  <c r="AF17" i="27" s="1"/>
  <c r="J17" i="27"/>
  <c r="AC17" i="27" s="1"/>
  <c r="I17" i="27"/>
  <c r="AE17" i="27" s="1"/>
  <c r="AD16" i="27"/>
  <c r="Z16" i="27"/>
  <c r="Y16" i="27"/>
  <c r="T16" i="27"/>
  <c r="U16" i="27" s="1"/>
  <c r="R16" i="27"/>
  <c r="S16" i="27" s="1"/>
  <c r="Q16" i="27"/>
  <c r="P16" i="27"/>
  <c r="O16" i="27"/>
  <c r="N16" i="27"/>
  <c r="AI16" i="27" s="1"/>
  <c r="M16" i="27"/>
  <c r="AH16" i="27" s="1"/>
  <c r="L16" i="27"/>
  <c r="AG16" i="27" s="1"/>
  <c r="K16" i="27"/>
  <c r="AF16" i="27" s="1"/>
  <c r="J16" i="27"/>
  <c r="AC16" i="27" s="1"/>
  <c r="I16" i="27"/>
  <c r="AE16" i="27" s="1"/>
  <c r="AD15" i="27"/>
  <c r="Y15" i="27"/>
  <c r="X15" i="27"/>
  <c r="T15" i="27"/>
  <c r="U15" i="27" s="1"/>
  <c r="R15" i="27"/>
  <c r="S15" i="27" s="1"/>
  <c r="Q15" i="27"/>
  <c r="P15" i="27"/>
  <c r="O15" i="27"/>
  <c r="N15" i="27"/>
  <c r="AI15" i="27" s="1"/>
  <c r="M15" i="27"/>
  <c r="AH15" i="27" s="1"/>
  <c r="L15" i="27"/>
  <c r="AG15" i="27" s="1"/>
  <c r="K15" i="27"/>
  <c r="AF15" i="27" s="1"/>
  <c r="J15" i="27"/>
  <c r="AC15" i="27" s="1"/>
  <c r="I15" i="27"/>
  <c r="AE15" i="27" s="1"/>
  <c r="AD14" i="27"/>
  <c r="Z14" i="27"/>
  <c r="Y14" i="27"/>
  <c r="T14" i="27"/>
  <c r="U14" i="27" s="1"/>
  <c r="R14" i="27"/>
  <c r="S14" i="27" s="1"/>
  <c r="Q14" i="27"/>
  <c r="P14" i="27"/>
  <c r="O14" i="27"/>
  <c r="N14" i="27"/>
  <c r="AI14" i="27" s="1"/>
  <c r="M14" i="27"/>
  <c r="AH14" i="27" s="1"/>
  <c r="L14" i="27"/>
  <c r="AG14" i="27" s="1"/>
  <c r="K14" i="27"/>
  <c r="AF14" i="27" s="1"/>
  <c r="J14" i="27"/>
  <c r="AC14" i="27" s="1"/>
  <c r="I14" i="27"/>
  <c r="AE14" i="27" s="1"/>
  <c r="AD13" i="27"/>
  <c r="Y13" i="27"/>
  <c r="X13" i="27"/>
  <c r="T13" i="27"/>
  <c r="U13" i="27" s="1"/>
  <c r="R13" i="27"/>
  <c r="S13" i="27" s="1"/>
  <c r="Q13" i="27"/>
  <c r="P13" i="27"/>
  <c r="O13" i="27"/>
  <c r="N13" i="27"/>
  <c r="AI13" i="27" s="1"/>
  <c r="M13" i="27"/>
  <c r="AH13" i="27" s="1"/>
  <c r="L13" i="27"/>
  <c r="AG13" i="27" s="1"/>
  <c r="K13" i="27"/>
  <c r="AF13" i="27" s="1"/>
  <c r="J13" i="27"/>
  <c r="AC13" i="27" s="1"/>
  <c r="I13" i="27"/>
  <c r="AE13" i="27" s="1"/>
  <c r="AD12" i="27"/>
  <c r="Z12" i="27"/>
  <c r="Y12" i="27"/>
  <c r="T12" i="27"/>
  <c r="U12" i="27" s="1"/>
  <c r="R12" i="27"/>
  <c r="S12" i="27" s="1"/>
  <c r="Q12" i="27"/>
  <c r="P12" i="27"/>
  <c r="O12" i="27"/>
  <c r="N12" i="27"/>
  <c r="AI12" i="27" s="1"/>
  <c r="M12" i="27"/>
  <c r="AH12" i="27" s="1"/>
  <c r="L12" i="27"/>
  <c r="AG12" i="27" s="1"/>
  <c r="K12" i="27"/>
  <c r="AF12" i="27" s="1"/>
  <c r="J12" i="27"/>
  <c r="AC12" i="27" s="1"/>
  <c r="I12" i="27"/>
  <c r="AE12" i="27" s="1"/>
  <c r="AD11" i="27"/>
  <c r="Y11" i="27"/>
  <c r="X11" i="27"/>
  <c r="T11" i="27"/>
  <c r="U11" i="27" s="1"/>
  <c r="R11" i="27"/>
  <c r="S11" i="27" s="1"/>
  <c r="Q11" i="27"/>
  <c r="P11" i="27"/>
  <c r="O11" i="27"/>
  <c r="N11" i="27"/>
  <c r="AI11" i="27" s="1"/>
  <c r="M11" i="27"/>
  <c r="AH11" i="27" s="1"/>
  <c r="L11" i="27"/>
  <c r="AG11" i="27" s="1"/>
  <c r="K11" i="27"/>
  <c r="AF11" i="27" s="1"/>
  <c r="J11" i="27"/>
  <c r="AC11" i="27" s="1"/>
  <c r="I11" i="27"/>
  <c r="AE11" i="27" s="1"/>
  <c r="AD10" i="27"/>
  <c r="Z10" i="27"/>
  <c r="Y10" i="27"/>
  <c r="T10" i="27"/>
  <c r="U10" i="27" s="1"/>
  <c r="R10" i="27"/>
  <c r="S10" i="27" s="1"/>
  <c r="Q10" i="27"/>
  <c r="P10" i="27"/>
  <c r="O10" i="27"/>
  <c r="N10" i="27"/>
  <c r="AI10" i="27" s="1"/>
  <c r="M10" i="27"/>
  <c r="AH10" i="27" s="1"/>
  <c r="L10" i="27"/>
  <c r="AG10" i="27" s="1"/>
  <c r="K10" i="27"/>
  <c r="AF10" i="27" s="1"/>
  <c r="J10" i="27"/>
  <c r="AC10" i="27" s="1"/>
  <c r="I10" i="27"/>
  <c r="AE10" i="27" s="1"/>
  <c r="AI9" i="27"/>
  <c r="AD9" i="27"/>
  <c r="Y9" i="27"/>
  <c r="X9" i="27"/>
  <c r="T9" i="27"/>
  <c r="U9" i="27" s="1"/>
  <c r="R9" i="27"/>
  <c r="S9" i="27" s="1"/>
  <c r="Q9" i="27"/>
  <c r="O9" i="27"/>
  <c r="M9" i="27"/>
  <c r="AH9" i="27" s="1"/>
  <c r="L9" i="27"/>
  <c r="AG9" i="27" s="1"/>
  <c r="K9" i="27"/>
  <c r="AF9" i="27" s="1"/>
  <c r="J9" i="27"/>
  <c r="AC9" i="27" s="1"/>
  <c r="I9" i="27"/>
  <c r="AE9" i="27" s="1"/>
  <c r="AI8" i="27"/>
  <c r="AD8" i="27"/>
  <c r="Z8" i="27"/>
  <c r="Y8" i="27"/>
  <c r="T8" i="27"/>
  <c r="U8" i="27" s="1"/>
  <c r="R8" i="27"/>
  <c r="S8" i="27" s="1"/>
  <c r="Q8" i="27"/>
  <c r="O8" i="27"/>
  <c r="M8" i="27"/>
  <c r="AH8" i="27" s="1"/>
  <c r="L8" i="27"/>
  <c r="AG8" i="27" s="1"/>
  <c r="K8" i="27"/>
  <c r="AF8" i="27" s="1"/>
  <c r="J8" i="27"/>
  <c r="AC8" i="27" s="1"/>
  <c r="I8" i="27"/>
  <c r="AE8" i="27" s="1"/>
  <c r="T7" i="27"/>
  <c r="U7" i="27" s="1"/>
  <c r="R7" i="27"/>
  <c r="S7" i="27" s="1"/>
  <c r="Q7" i="27"/>
  <c r="I7" i="27"/>
  <c r="T6" i="27"/>
  <c r="U6" i="27" s="1"/>
  <c r="R6" i="27"/>
  <c r="S6" i="27" s="1"/>
  <c r="Q6" i="27"/>
  <c r="I6" i="27"/>
  <c r="T5" i="27"/>
  <c r="U5" i="27" s="1"/>
  <c r="R5" i="27"/>
  <c r="S5" i="27" s="1"/>
  <c r="Q5" i="27"/>
  <c r="I5" i="27"/>
  <c r="T4" i="27"/>
  <c r="U4" i="27" s="1"/>
  <c r="R4" i="27"/>
  <c r="S4" i="27" s="1"/>
  <c r="Q4" i="27"/>
  <c r="I4" i="27"/>
  <c r="T3" i="27"/>
  <c r="U3" i="27" s="1"/>
  <c r="R3" i="27"/>
  <c r="S3" i="27" s="1"/>
  <c r="Q3" i="27"/>
  <c r="I3" i="27"/>
  <c r="Q2" i="27"/>
  <c r="I2" i="27"/>
  <c r="AC23" i="27" l="1"/>
  <c r="J22" i="27"/>
  <c r="AO21" i="27"/>
  <c r="AN21" i="27"/>
  <c r="AM21" i="27"/>
  <c r="AS21" i="27"/>
  <c r="AR21" i="27"/>
  <c r="AQ21" i="27"/>
  <c r="AP21" i="27"/>
  <c r="AC22" i="27"/>
  <c r="U37" i="23"/>
  <c r="T37" i="23"/>
  <c r="R37" i="23"/>
  <c r="S37" i="23" s="1"/>
  <c r="Q37" i="23"/>
  <c r="I37" i="23"/>
  <c r="T36" i="23"/>
  <c r="U36" i="23" s="1"/>
  <c r="S36" i="23"/>
  <c r="R36" i="23"/>
  <c r="Q36" i="23"/>
  <c r="I36" i="23"/>
  <c r="U35" i="23"/>
  <c r="T35" i="23"/>
  <c r="R35" i="23"/>
  <c r="S35" i="23" s="1"/>
  <c r="Q35" i="23"/>
  <c r="I35" i="23"/>
  <c r="T34" i="23"/>
  <c r="U34" i="23" s="1"/>
  <c r="S34" i="23"/>
  <c r="R34" i="23"/>
  <c r="Q34" i="23"/>
  <c r="I34" i="23"/>
  <c r="U33" i="23"/>
  <c r="T33" i="23"/>
  <c r="R33" i="23"/>
  <c r="S33" i="23" s="1"/>
  <c r="Q33" i="23"/>
  <c r="I33" i="23"/>
  <c r="T32" i="23"/>
  <c r="U32" i="23" s="1"/>
  <c r="S32" i="23"/>
  <c r="R32" i="23"/>
  <c r="Q32" i="23"/>
  <c r="I32" i="23"/>
  <c r="AI31" i="23"/>
  <c r="AH31" i="23"/>
  <c r="AE31" i="23"/>
  <c r="AD31" i="23"/>
  <c r="Z31" i="23"/>
  <c r="Y31" i="23"/>
  <c r="U31" i="23"/>
  <c r="T31" i="23"/>
  <c r="R31" i="23"/>
  <c r="S31" i="23" s="1"/>
  <c r="Q31" i="23"/>
  <c r="O31" i="23"/>
  <c r="M31" i="23"/>
  <c r="L31" i="23"/>
  <c r="AG31" i="23" s="1"/>
  <c r="K31" i="23"/>
  <c r="AF31" i="23" s="1"/>
  <c r="J31" i="23"/>
  <c r="AC31" i="23" s="1"/>
  <c r="I31" i="23"/>
  <c r="AI30" i="23"/>
  <c r="AH30" i="23"/>
  <c r="AE30" i="23"/>
  <c r="AD30" i="23"/>
  <c r="Y30" i="23"/>
  <c r="X30" i="23"/>
  <c r="U30" i="23"/>
  <c r="T30" i="23"/>
  <c r="R30" i="23"/>
  <c r="S30" i="23" s="1"/>
  <c r="Q30" i="23"/>
  <c r="O30" i="23"/>
  <c r="M30" i="23"/>
  <c r="L30" i="23"/>
  <c r="AG30" i="23" s="1"/>
  <c r="K30" i="23"/>
  <c r="AF30" i="23" s="1"/>
  <c r="J30" i="23"/>
  <c r="AC30" i="23" s="1"/>
  <c r="I30" i="23"/>
  <c r="AE29" i="23"/>
  <c r="AD29" i="23"/>
  <c r="Z29" i="23"/>
  <c r="Y29" i="23"/>
  <c r="U29" i="23"/>
  <c r="T29" i="23"/>
  <c r="R29" i="23"/>
  <c r="S29" i="23" s="1"/>
  <c r="Q29" i="23"/>
  <c r="P29" i="23"/>
  <c r="O29" i="23"/>
  <c r="N29" i="23"/>
  <c r="AI29" i="23" s="1"/>
  <c r="M29" i="23"/>
  <c r="AH29" i="23" s="1"/>
  <c r="L29" i="23"/>
  <c r="AG29" i="23" s="1"/>
  <c r="K29" i="23"/>
  <c r="AF29" i="23" s="1"/>
  <c r="J29" i="23"/>
  <c r="AC29" i="23" s="1"/>
  <c r="I29" i="23"/>
  <c r="AD28" i="23"/>
  <c r="AC28" i="23"/>
  <c r="Y28" i="23"/>
  <c r="X28" i="23"/>
  <c r="T28" i="23"/>
  <c r="U28" i="23" s="1"/>
  <c r="S28" i="23"/>
  <c r="R28" i="23"/>
  <c r="Q28" i="23"/>
  <c r="P28" i="23"/>
  <c r="O28" i="23"/>
  <c r="N28" i="23"/>
  <c r="AI28" i="23" s="1"/>
  <c r="M28" i="23"/>
  <c r="AH28" i="23" s="1"/>
  <c r="L28" i="23"/>
  <c r="AG28" i="23" s="1"/>
  <c r="K28" i="23"/>
  <c r="AF28" i="23" s="1"/>
  <c r="J28" i="23"/>
  <c r="I28" i="23"/>
  <c r="AE28" i="23" s="1"/>
  <c r="AE27" i="23"/>
  <c r="AD27" i="23"/>
  <c r="Z27" i="23"/>
  <c r="Y27" i="23"/>
  <c r="U27" i="23"/>
  <c r="T27" i="23"/>
  <c r="R27" i="23"/>
  <c r="S27" i="23" s="1"/>
  <c r="Q27" i="23"/>
  <c r="P27" i="23"/>
  <c r="O27" i="23"/>
  <c r="N27" i="23"/>
  <c r="AI27" i="23" s="1"/>
  <c r="M27" i="23"/>
  <c r="AH27" i="23" s="1"/>
  <c r="L27" i="23"/>
  <c r="AG27" i="23" s="1"/>
  <c r="K27" i="23"/>
  <c r="AF27" i="23" s="1"/>
  <c r="J27" i="23"/>
  <c r="AC27" i="23" s="1"/>
  <c r="I27" i="23"/>
  <c r="AD26" i="23"/>
  <c r="AC26" i="23"/>
  <c r="Y26" i="23"/>
  <c r="X26" i="23"/>
  <c r="T26" i="23"/>
  <c r="U26" i="23" s="1"/>
  <c r="S26" i="23"/>
  <c r="R26" i="23"/>
  <c r="Q26" i="23"/>
  <c r="P26" i="23"/>
  <c r="O26" i="23"/>
  <c r="N26" i="23"/>
  <c r="AI26" i="23" s="1"/>
  <c r="M26" i="23"/>
  <c r="AH26" i="23" s="1"/>
  <c r="L26" i="23"/>
  <c r="AG26" i="23" s="1"/>
  <c r="K26" i="23"/>
  <c r="AF26" i="23" s="1"/>
  <c r="J26" i="23"/>
  <c r="I26" i="23"/>
  <c r="AE26" i="23" s="1"/>
  <c r="AE25" i="23"/>
  <c r="AD25" i="23"/>
  <c r="Z25" i="23"/>
  <c r="Y25" i="23"/>
  <c r="U25" i="23"/>
  <c r="T25" i="23"/>
  <c r="R25" i="23"/>
  <c r="S25" i="23" s="1"/>
  <c r="Q25" i="23"/>
  <c r="P25" i="23"/>
  <c r="O25" i="23"/>
  <c r="N25" i="23"/>
  <c r="AI25" i="23" s="1"/>
  <c r="M25" i="23"/>
  <c r="AH25" i="23" s="1"/>
  <c r="L25" i="23"/>
  <c r="AG25" i="23" s="1"/>
  <c r="K25" i="23"/>
  <c r="AF25" i="23" s="1"/>
  <c r="J25" i="23"/>
  <c r="AC25" i="23" s="1"/>
  <c r="I25" i="23"/>
  <c r="AD24" i="23"/>
  <c r="AC24" i="23"/>
  <c r="Y24" i="23"/>
  <c r="X24" i="23"/>
  <c r="T24" i="23"/>
  <c r="U24" i="23" s="1"/>
  <c r="S24" i="23"/>
  <c r="R24" i="23"/>
  <c r="Q24" i="23"/>
  <c r="P24" i="23"/>
  <c r="O24" i="23"/>
  <c r="N24" i="23"/>
  <c r="AI24" i="23" s="1"/>
  <c r="M24" i="23"/>
  <c r="AH24" i="23" s="1"/>
  <c r="L24" i="23"/>
  <c r="AG24" i="23" s="1"/>
  <c r="K24" i="23"/>
  <c r="AF24" i="23" s="1"/>
  <c r="J24" i="23"/>
  <c r="I24" i="23"/>
  <c r="AE24" i="23" s="1"/>
  <c r="AE23" i="23"/>
  <c r="AD23" i="23"/>
  <c r="Z23" i="23"/>
  <c r="Y23" i="23"/>
  <c r="U23" i="23"/>
  <c r="T23" i="23"/>
  <c r="R23" i="23"/>
  <c r="S23" i="23" s="1"/>
  <c r="Q23" i="23"/>
  <c r="P23" i="23"/>
  <c r="O23" i="23"/>
  <c r="N23" i="23"/>
  <c r="AI23" i="23" s="1"/>
  <c r="M23" i="23"/>
  <c r="AH23" i="23" s="1"/>
  <c r="L23" i="23"/>
  <c r="AG23" i="23" s="1"/>
  <c r="K23" i="23"/>
  <c r="AF23" i="23" s="1"/>
  <c r="J23" i="23"/>
  <c r="AC23" i="23" s="1"/>
  <c r="I23" i="23"/>
  <c r="AD22" i="23"/>
  <c r="Y22" i="23"/>
  <c r="X22" i="23"/>
  <c r="T22" i="23"/>
  <c r="U22" i="23" s="1"/>
  <c r="R22" i="23"/>
  <c r="S22" i="23" s="1"/>
  <c r="Q22" i="23"/>
  <c r="P22" i="23"/>
  <c r="O22" i="23"/>
  <c r="N22" i="23"/>
  <c r="AI22" i="23" s="1"/>
  <c r="M22" i="23"/>
  <c r="AH22" i="23" s="1"/>
  <c r="L22" i="23"/>
  <c r="AG22" i="23" s="1"/>
  <c r="K22" i="23"/>
  <c r="AF22" i="23" s="1"/>
  <c r="I22" i="23"/>
  <c r="AE22" i="23" s="1"/>
  <c r="AE21" i="23"/>
  <c r="AD21" i="23"/>
  <c r="Y21" i="23"/>
  <c r="X21" i="23"/>
  <c r="T21" i="23"/>
  <c r="U21" i="23" s="1"/>
  <c r="R21" i="23"/>
  <c r="S21" i="23" s="1"/>
  <c r="Q21" i="23"/>
  <c r="P21" i="23"/>
  <c r="O21" i="23"/>
  <c r="N21" i="23"/>
  <c r="AI21" i="23" s="1"/>
  <c r="M21" i="23"/>
  <c r="AH21" i="23" s="1"/>
  <c r="L21" i="23"/>
  <c r="AG21" i="23" s="1"/>
  <c r="K21" i="23"/>
  <c r="AF21" i="23" s="1"/>
  <c r="J21" i="23"/>
  <c r="AC21" i="23" s="1"/>
  <c r="I21" i="23"/>
  <c r="AD20" i="23"/>
  <c r="AC20" i="23"/>
  <c r="Z20" i="23"/>
  <c r="Y20" i="23"/>
  <c r="T20" i="23"/>
  <c r="U20" i="23" s="1"/>
  <c r="R20" i="23"/>
  <c r="S20" i="23" s="1"/>
  <c r="Q20" i="23"/>
  <c r="P20" i="23"/>
  <c r="O20" i="23"/>
  <c r="N20" i="23"/>
  <c r="AI20" i="23" s="1"/>
  <c r="M20" i="23"/>
  <c r="AH20" i="23" s="1"/>
  <c r="L20" i="23"/>
  <c r="AG20" i="23" s="1"/>
  <c r="K20" i="23"/>
  <c r="AF20" i="23" s="1"/>
  <c r="J20" i="23"/>
  <c r="I20" i="23"/>
  <c r="AE20" i="23" s="1"/>
  <c r="AE19" i="23"/>
  <c r="AD19" i="23"/>
  <c r="Y19" i="23"/>
  <c r="X19" i="23"/>
  <c r="T19" i="23"/>
  <c r="U19" i="23" s="1"/>
  <c r="R19" i="23"/>
  <c r="S19" i="23" s="1"/>
  <c r="Q19" i="23"/>
  <c r="P19" i="23"/>
  <c r="O19" i="23"/>
  <c r="N19" i="23"/>
  <c r="AI19" i="23" s="1"/>
  <c r="M19" i="23"/>
  <c r="AH19" i="23" s="1"/>
  <c r="L19" i="23"/>
  <c r="AG19" i="23" s="1"/>
  <c r="K19" i="23"/>
  <c r="AF19" i="23" s="1"/>
  <c r="J19" i="23"/>
  <c r="AC19" i="23" s="1"/>
  <c r="I19" i="23"/>
  <c r="AD18" i="23"/>
  <c r="AC18" i="23"/>
  <c r="Z18" i="23"/>
  <c r="Y18" i="23"/>
  <c r="T18" i="23"/>
  <c r="U18" i="23" s="1"/>
  <c r="R18" i="23"/>
  <c r="S18" i="23" s="1"/>
  <c r="Q18" i="23"/>
  <c r="P18" i="23"/>
  <c r="O18" i="23"/>
  <c r="N18" i="23"/>
  <c r="AI18" i="23" s="1"/>
  <c r="M18" i="23"/>
  <c r="AH18" i="23" s="1"/>
  <c r="L18" i="23"/>
  <c r="AG18" i="23" s="1"/>
  <c r="K18" i="23"/>
  <c r="AF18" i="23" s="1"/>
  <c r="J18" i="23"/>
  <c r="I18" i="23"/>
  <c r="AE18" i="23" s="1"/>
  <c r="AE17" i="23"/>
  <c r="AD17" i="23"/>
  <c r="Y17" i="23"/>
  <c r="X17" i="23"/>
  <c r="T17" i="23"/>
  <c r="U17" i="23" s="1"/>
  <c r="R17" i="23"/>
  <c r="S17" i="23" s="1"/>
  <c r="Q17" i="23"/>
  <c r="P17" i="23"/>
  <c r="O17" i="23"/>
  <c r="N17" i="23"/>
  <c r="AI17" i="23" s="1"/>
  <c r="M17" i="23"/>
  <c r="AH17" i="23" s="1"/>
  <c r="L17" i="23"/>
  <c r="AG17" i="23" s="1"/>
  <c r="K17" i="23"/>
  <c r="AF17" i="23" s="1"/>
  <c r="J17" i="23"/>
  <c r="AC17" i="23" s="1"/>
  <c r="I17" i="23"/>
  <c r="AD16" i="23"/>
  <c r="Z16" i="23"/>
  <c r="Y16" i="23"/>
  <c r="T16" i="23"/>
  <c r="U16" i="23" s="1"/>
  <c r="R16" i="23"/>
  <c r="S16" i="23" s="1"/>
  <c r="Q16" i="23"/>
  <c r="P16" i="23"/>
  <c r="O16" i="23"/>
  <c r="N16" i="23"/>
  <c r="AI16" i="23" s="1"/>
  <c r="M16" i="23"/>
  <c r="AH16" i="23" s="1"/>
  <c r="L16" i="23"/>
  <c r="AG16" i="23" s="1"/>
  <c r="K16" i="23"/>
  <c r="AF16" i="23" s="1"/>
  <c r="J16" i="23"/>
  <c r="AC16" i="23" s="1"/>
  <c r="I16" i="23"/>
  <c r="AE16" i="23" s="1"/>
  <c r="AD15" i="23"/>
  <c r="Y15" i="23"/>
  <c r="X15" i="23"/>
  <c r="T15" i="23"/>
  <c r="U15" i="23" s="1"/>
  <c r="R15" i="23"/>
  <c r="S15" i="23" s="1"/>
  <c r="Q15" i="23"/>
  <c r="P15" i="23"/>
  <c r="O15" i="23"/>
  <c r="N15" i="23"/>
  <c r="AI15" i="23" s="1"/>
  <c r="M15" i="23"/>
  <c r="AH15" i="23" s="1"/>
  <c r="L15" i="23"/>
  <c r="AG15" i="23" s="1"/>
  <c r="K15" i="23"/>
  <c r="AF15" i="23" s="1"/>
  <c r="J15" i="23"/>
  <c r="AC15" i="23" s="1"/>
  <c r="I15" i="23"/>
  <c r="AE15" i="23" s="1"/>
  <c r="AD14" i="23"/>
  <c r="Z14" i="23"/>
  <c r="Y14" i="23"/>
  <c r="T14" i="23"/>
  <c r="U14" i="23" s="1"/>
  <c r="R14" i="23"/>
  <c r="S14" i="23" s="1"/>
  <c r="Q14" i="23"/>
  <c r="P14" i="23"/>
  <c r="O14" i="23"/>
  <c r="N14" i="23"/>
  <c r="AI14" i="23" s="1"/>
  <c r="M14" i="23"/>
  <c r="AH14" i="23" s="1"/>
  <c r="L14" i="23"/>
  <c r="AG14" i="23" s="1"/>
  <c r="K14" i="23"/>
  <c r="AF14" i="23" s="1"/>
  <c r="J14" i="23"/>
  <c r="AC14" i="23" s="1"/>
  <c r="I14" i="23"/>
  <c r="AE14" i="23" s="1"/>
  <c r="AD13" i="23"/>
  <c r="Y13" i="23"/>
  <c r="X13" i="23"/>
  <c r="T13" i="23"/>
  <c r="U13" i="23" s="1"/>
  <c r="R13" i="23"/>
  <c r="S13" i="23" s="1"/>
  <c r="Q13" i="23"/>
  <c r="P13" i="23"/>
  <c r="O13" i="23"/>
  <c r="N13" i="23"/>
  <c r="AI13" i="23" s="1"/>
  <c r="M13" i="23"/>
  <c r="AH13" i="23" s="1"/>
  <c r="L13" i="23"/>
  <c r="AG13" i="23" s="1"/>
  <c r="K13" i="23"/>
  <c r="AF13" i="23" s="1"/>
  <c r="J13" i="23"/>
  <c r="AC13" i="23" s="1"/>
  <c r="I13" i="23"/>
  <c r="AE13" i="23" s="1"/>
  <c r="AD12" i="23"/>
  <c r="AC12" i="23"/>
  <c r="Z12" i="23"/>
  <c r="Y12" i="23"/>
  <c r="T12" i="23"/>
  <c r="U12" i="23" s="1"/>
  <c r="R12" i="23"/>
  <c r="S12" i="23" s="1"/>
  <c r="Q12" i="23"/>
  <c r="P12" i="23"/>
  <c r="O12" i="23"/>
  <c r="N12" i="23"/>
  <c r="AI12" i="23" s="1"/>
  <c r="M12" i="23"/>
  <c r="AH12" i="23" s="1"/>
  <c r="L12" i="23"/>
  <c r="AG12" i="23" s="1"/>
  <c r="K12" i="23"/>
  <c r="AF12" i="23" s="1"/>
  <c r="J12" i="23"/>
  <c r="I12" i="23"/>
  <c r="AE12" i="23" s="1"/>
  <c r="AE11" i="23"/>
  <c r="AD11" i="23"/>
  <c r="Y11" i="23"/>
  <c r="X11" i="23"/>
  <c r="T11" i="23"/>
  <c r="U11" i="23" s="1"/>
  <c r="R11" i="23"/>
  <c r="S11" i="23" s="1"/>
  <c r="Q11" i="23"/>
  <c r="P11" i="23"/>
  <c r="O11" i="23"/>
  <c r="N11" i="23"/>
  <c r="AI11" i="23" s="1"/>
  <c r="M11" i="23"/>
  <c r="AH11" i="23" s="1"/>
  <c r="L11" i="23"/>
  <c r="AG11" i="23" s="1"/>
  <c r="K11" i="23"/>
  <c r="AF11" i="23" s="1"/>
  <c r="J11" i="23"/>
  <c r="AC11" i="23" s="1"/>
  <c r="I11" i="23"/>
  <c r="AD10" i="23"/>
  <c r="Z10" i="23"/>
  <c r="Y10" i="23"/>
  <c r="T10" i="23"/>
  <c r="U10" i="23" s="1"/>
  <c r="R10" i="23"/>
  <c r="S10" i="23" s="1"/>
  <c r="Q10" i="23"/>
  <c r="P10" i="23"/>
  <c r="O10" i="23"/>
  <c r="N10" i="23"/>
  <c r="AI10" i="23" s="1"/>
  <c r="M10" i="23"/>
  <c r="AH10" i="23" s="1"/>
  <c r="L10" i="23"/>
  <c r="AG10" i="23" s="1"/>
  <c r="K10" i="23"/>
  <c r="AF10" i="23" s="1"/>
  <c r="J10" i="23"/>
  <c r="AC10" i="23" s="1"/>
  <c r="I10" i="23"/>
  <c r="AE10" i="23" s="1"/>
  <c r="AI9" i="23"/>
  <c r="AE9" i="23"/>
  <c r="AD9" i="23"/>
  <c r="Y9" i="23"/>
  <c r="X9" i="23"/>
  <c r="T9" i="23"/>
  <c r="U9" i="23" s="1"/>
  <c r="R9" i="23"/>
  <c r="S9" i="23" s="1"/>
  <c r="Q9" i="23"/>
  <c r="O9" i="23"/>
  <c r="M9" i="23"/>
  <c r="AH9" i="23" s="1"/>
  <c r="L9" i="23"/>
  <c r="AG9" i="23" s="1"/>
  <c r="K9" i="23"/>
  <c r="AF9" i="23" s="1"/>
  <c r="J9" i="23"/>
  <c r="AC9" i="23" s="1"/>
  <c r="I9" i="23"/>
  <c r="AI8" i="23"/>
  <c r="AE8" i="23"/>
  <c r="AD8" i="23"/>
  <c r="Z8" i="23"/>
  <c r="Y8" i="23"/>
  <c r="T8" i="23"/>
  <c r="U8" i="23" s="1"/>
  <c r="R8" i="23"/>
  <c r="S8" i="23" s="1"/>
  <c r="Q8" i="23"/>
  <c r="O8" i="23"/>
  <c r="M8" i="23"/>
  <c r="AH8" i="23" s="1"/>
  <c r="L8" i="23"/>
  <c r="AG8" i="23" s="1"/>
  <c r="K8" i="23"/>
  <c r="AF8" i="23" s="1"/>
  <c r="J8" i="23"/>
  <c r="AC8" i="23" s="1"/>
  <c r="I8" i="23"/>
  <c r="U7" i="23"/>
  <c r="T7" i="23"/>
  <c r="R7" i="23"/>
  <c r="S7" i="23" s="1"/>
  <c r="Q7" i="23"/>
  <c r="I7" i="23"/>
  <c r="T6" i="23"/>
  <c r="U6" i="23" s="1"/>
  <c r="S6" i="23"/>
  <c r="R6" i="23"/>
  <c r="Q6" i="23"/>
  <c r="I6" i="23"/>
  <c r="T5" i="23"/>
  <c r="U5" i="23" s="1"/>
  <c r="R5" i="23"/>
  <c r="S5" i="23" s="1"/>
  <c r="Q5" i="23"/>
  <c r="I5" i="23"/>
  <c r="T4" i="23"/>
  <c r="U4" i="23" s="1"/>
  <c r="S4" i="23"/>
  <c r="R4" i="23"/>
  <c r="Q4" i="23"/>
  <c r="I4" i="23"/>
  <c r="U3" i="23"/>
  <c r="T3" i="23"/>
  <c r="R3" i="23"/>
  <c r="S3" i="23" s="1"/>
  <c r="Q3" i="23"/>
  <c r="I3" i="23"/>
  <c r="Q2" i="23"/>
  <c r="I2" i="23"/>
  <c r="J22" i="23" l="1"/>
  <c r="AC22" i="23" s="1"/>
  <c r="T37" i="21" l="1"/>
  <c r="U37" i="21" s="1"/>
  <c r="R37" i="21"/>
  <c r="S37" i="21" s="1"/>
  <c r="Q37" i="21"/>
  <c r="I37" i="21"/>
  <c r="T36" i="21"/>
  <c r="U36" i="21" s="1"/>
  <c r="R36" i="21"/>
  <c r="S36" i="21" s="1"/>
  <c r="Q36" i="21"/>
  <c r="I36" i="21"/>
  <c r="T35" i="21"/>
  <c r="U35" i="21" s="1"/>
  <c r="R35" i="21"/>
  <c r="S35" i="21" s="1"/>
  <c r="Q35" i="21"/>
  <c r="I35" i="21"/>
  <c r="T34" i="21"/>
  <c r="U34" i="21" s="1"/>
  <c r="R34" i="21"/>
  <c r="S34" i="21" s="1"/>
  <c r="Q34" i="21"/>
  <c r="I34" i="21"/>
  <c r="T33" i="21"/>
  <c r="U33" i="21" s="1"/>
  <c r="R33" i="21"/>
  <c r="S33" i="21" s="1"/>
  <c r="Q33" i="21"/>
  <c r="I33" i="21"/>
  <c r="T32" i="21"/>
  <c r="U32" i="21" s="1"/>
  <c r="R32" i="21"/>
  <c r="S32" i="21" s="1"/>
  <c r="Q32" i="21"/>
  <c r="I32" i="21"/>
  <c r="T31" i="21"/>
  <c r="U31" i="21" s="1"/>
  <c r="R31" i="21"/>
  <c r="S31" i="21" s="1"/>
  <c r="Q31" i="21"/>
  <c r="O31" i="21"/>
  <c r="M31" i="21"/>
  <c r="L31" i="21"/>
  <c r="K31" i="21"/>
  <c r="J31" i="21"/>
  <c r="I31" i="21"/>
  <c r="T30" i="21"/>
  <c r="U30" i="21" s="1"/>
  <c r="R30" i="21"/>
  <c r="S30" i="21" s="1"/>
  <c r="Q30" i="21"/>
  <c r="O30" i="21"/>
  <c r="M30" i="21"/>
  <c r="L30" i="21"/>
  <c r="K30" i="21"/>
  <c r="J30" i="21"/>
  <c r="I30" i="21"/>
  <c r="T29" i="21"/>
  <c r="U29" i="21" s="1"/>
  <c r="R29" i="21"/>
  <c r="S29" i="21" s="1"/>
  <c r="Q29" i="21"/>
  <c r="P29" i="21"/>
  <c r="O29" i="21"/>
  <c r="N29" i="21"/>
  <c r="M29" i="21"/>
  <c r="L29" i="21"/>
  <c r="K29" i="21"/>
  <c r="J29" i="21"/>
  <c r="I29" i="21"/>
  <c r="T28" i="21"/>
  <c r="U28" i="21" s="1"/>
  <c r="R28" i="21"/>
  <c r="S28" i="21" s="1"/>
  <c r="Q28" i="21"/>
  <c r="P28" i="21"/>
  <c r="O28" i="21"/>
  <c r="N28" i="21"/>
  <c r="M28" i="21"/>
  <c r="L28" i="21"/>
  <c r="K28" i="21"/>
  <c r="J28" i="21"/>
  <c r="I28" i="21"/>
  <c r="T27" i="21"/>
  <c r="U27" i="21" s="1"/>
  <c r="R27" i="21"/>
  <c r="S27" i="21" s="1"/>
  <c r="Q27" i="21"/>
  <c r="P27" i="21"/>
  <c r="O27" i="21"/>
  <c r="N27" i="21"/>
  <c r="M27" i="21"/>
  <c r="L27" i="21"/>
  <c r="K27" i="21"/>
  <c r="J27" i="21"/>
  <c r="I27" i="21"/>
  <c r="T26" i="21"/>
  <c r="U26" i="21" s="1"/>
  <c r="R26" i="21"/>
  <c r="S26" i="21" s="1"/>
  <c r="Q26" i="21"/>
  <c r="P26" i="21"/>
  <c r="O26" i="21"/>
  <c r="N26" i="21"/>
  <c r="M26" i="21"/>
  <c r="L26" i="21"/>
  <c r="K26" i="21"/>
  <c r="J26" i="21"/>
  <c r="I26" i="21"/>
  <c r="T25" i="21"/>
  <c r="U25" i="21" s="1"/>
  <c r="R25" i="21"/>
  <c r="S25" i="21" s="1"/>
  <c r="Q25" i="21"/>
  <c r="P25" i="21"/>
  <c r="O25" i="21"/>
  <c r="N25" i="21"/>
  <c r="M25" i="21"/>
  <c r="L25" i="21"/>
  <c r="K25" i="21"/>
  <c r="J25" i="21"/>
  <c r="I25" i="21"/>
  <c r="T24" i="21"/>
  <c r="U24" i="21" s="1"/>
  <c r="R24" i="21"/>
  <c r="S24" i="21" s="1"/>
  <c r="Q24" i="21"/>
  <c r="P24" i="21"/>
  <c r="O24" i="21"/>
  <c r="N24" i="21"/>
  <c r="M24" i="21"/>
  <c r="L24" i="21"/>
  <c r="K24" i="21"/>
  <c r="J24" i="21"/>
  <c r="I24" i="21"/>
  <c r="T23" i="21"/>
  <c r="U23" i="21" s="1"/>
  <c r="R23" i="21"/>
  <c r="S23" i="21" s="1"/>
  <c r="Q23" i="21"/>
  <c r="P23" i="21"/>
  <c r="O23" i="21"/>
  <c r="N23" i="21"/>
  <c r="M23" i="21"/>
  <c r="L23" i="21"/>
  <c r="K23" i="21"/>
  <c r="J23" i="21"/>
  <c r="J22" i="21" s="1"/>
  <c r="I23" i="21"/>
  <c r="T22" i="21"/>
  <c r="U22" i="21" s="1"/>
  <c r="R22" i="21"/>
  <c r="S22" i="21" s="1"/>
  <c r="Q22" i="21"/>
  <c r="P22" i="21"/>
  <c r="O22" i="21"/>
  <c r="N22" i="21"/>
  <c r="M22" i="21"/>
  <c r="L22" i="21"/>
  <c r="K22" i="21"/>
  <c r="I22" i="21"/>
  <c r="T21" i="21"/>
  <c r="U21" i="21" s="1"/>
  <c r="R21" i="21"/>
  <c r="S21" i="21" s="1"/>
  <c r="Q21" i="21"/>
  <c r="P21" i="21"/>
  <c r="O21" i="21"/>
  <c r="N21" i="21"/>
  <c r="M21" i="21"/>
  <c r="L21" i="21"/>
  <c r="K21" i="21"/>
  <c r="J21" i="21"/>
  <c r="I21" i="21"/>
  <c r="T20" i="21"/>
  <c r="U20" i="21" s="1"/>
  <c r="R20" i="21"/>
  <c r="S20" i="21" s="1"/>
  <c r="Q20" i="21"/>
  <c r="P20" i="21"/>
  <c r="O20" i="21"/>
  <c r="N20" i="21"/>
  <c r="M20" i="21"/>
  <c r="L20" i="21"/>
  <c r="K20" i="21"/>
  <c r="J20" i="21"/>
  <c r="I20" i="21"/>
  <c r="T19" i="21"/>
  <c r="U19" i="21" s="1"/>
  <c r="R19" i="21"/>
  <c r="S19" i="21" s="1"/>
  <c r="Q19" i="21"/>
  <c r="P19" i="21"/>
  <c r="O19" i="21"/>
  <c r="N19" i="21"/>
  <c r="M19" i="21"/>
  <c r="L19" i="21"/>
  <c r="K19" i="21"/>
  <c r="J19" i="21"/>
  <c r="I19" i="21"/>
  <c r="T18" i="21"/>
  <c r="U18" i="21" s="1"/>
  <c r="R18" i="21"/>
  <c r="S18" i="21" s="1"/>
  <c r="Q18" i="21"/>
  <c r="P18" i="21"/>
  <c r="O18" i="21"/>
  <c r="N18" i="21"/>
  <c r="M18" i="21"/>
  <c r="L18" i="21"/>
  <c r="K18" i="21"/>
  <c r="J18" i="21"/>
  <c r="I18" i="21"/>
  <c r="T17" i="21"/>
  <c r="U17" i="21" s="1"/>
  <c r="R17" i="21"/>
  <c r="S17" i="21" s="1"/>
  <c r="Q17" i="21"/>
  <c r="P17" i="21"/>
  <c r="O17" i="21"/>
  <c r="N17" i="21"/>
  <c r="M17" i="21"/>
  <c r="L17" i="21"/>
  <c r="K17" i="21"/>
  <c r="J17" i="21"/>
  <c r="I17" i="21"/>
  <c r="T16" i="21"/>
  <c r="U16" i="21" s="1"/>
  <c r="R16" i="21"/>
  <c r="S16" i="21" s="1"/>
  <c r="Q16" i="21"/>
  <c r="P16" i="21"/>
  <c r="O16" i="21"/>
  <c r="N16" i="21"/>
  <c r="M16" i="21"/>
  <c r="L16" i="21"/>
  <c r="K16" i="21"/>
  <c r="J16" i="21"/>
  <c r="I16" i="21"/>
  <c r="T15" i="21"/>
  <c r="U15" i="21" s="1"/>
  <c r="R15" i="21"/>
  <c r="S15" i="21" s="1"/>
  <c r="Q15" i="21"/>
  <c r="P15" i="21"/>
  <c r="O15" i="21"/>
  <c r="N15" i="21"/>
  <c r="M15" i="21"/>
  <c r="L15" i="21"/>
  <c r="K15" i="21"/>
  <c r="J15" i="21"/>
  <c r="I15" i="21"/>
  <c r="T14" i="21"/>
  <c r="U14" i="21" s="1"/>
  <c r="R14" i="21"/>
  <c r="S14" i="21" s="1"/>
  <c r="Q14" i="21"/>
  <c r="P14" i="21"/>
  <c r="O14" i="21"/>
  <c r="N14" i="21"/>
  <c r="M14" i="21"/>
  <c r="L14" i="21"/>
  <c r="K14" i="21"/>
  <c r="J14" i="21"/>
  <c r="I14" i="21"/>
  <c r="T13" i="21"/>
  <c r="U13" i="21" s="1"/>
  <c r="R13" i="21"/>
  <c r="S13" i="21" s="1"/>
  <c r="Q13" i="21"/>
  <c r="P13" i="21"/>
  <c r="O13" i="21"/>
  <c r="N13" i="21"/>
  <c r="M13" i="21"/>
  <c r="L13" i="21"/>
  <c r="K13" i="21"/>
  <c r="J13" i="21"/>
  <c r="I13" i="21"/>
  <c r="T12" i="21"/>
  <c r="U12" i="21" s="1"/>
  <c r="R12" i="21"/>
  <c r="S12" i="21" s="1"/>
  <c r="Q12" i="21"/>
  <c r="P12" i="21"/>
  <c r="O12" i="21"/>
  <c r="N12" i="21"/>
  <c r="M12" i="21"/>
  <c r="L12" i="21"/>
  <c r="K12" i="21"/>
  <c r="J12" i="21"/>
  <c r="I12" i="21"/>
  <c r="T11" i="21"/>
  <c r="U11" i="21" s="1"/>
  <c r="R11" i="21"/>
  <c r="S11" i="21" s="1"/>
  <c r="Q11" i="21"/>
  <c r="P11" i="21"/>
  <c r="O11" i="21"/>
  <c r="N11" i="21"/>
  <c r="M11" i="21"/>
  <c r="L11" i="21"/>
  <c r="K11" i="21"/>
  <c r="J11" i="21"/>
  <c r="I11" i="21"/>
  <c r="T10" i="21"/>
  <c r="U10" i="21" s="1"/>
  <c r="R10" i="21"/>
  <c r="S10" i="21" s="1"/>
  <c r="Q10" i="21"/>
  <c r="P10" i="21"/>
  <c r="O10" i="21"/>
  <c r="N10" i="21"/>
  <c r="M10" i="21"/>
  <c r="L10" i="21"/>
  <c r="K10" i="21"/>
  <c r="J10" i="21"/>
  <c r="I10" i="21"/>
  <c r="T9" i="21"/>
  <c r="U9" i="21" s="1"/>
  <c r="R9" i="21"/>
  <c r="S9" i="21" s="1"/>
  <c r="Q9" i="21"/>
  <c r="O9" i="21"/>
  <c r="M9" i="21"/>
  <c r="L9" i="21"/>
  <c r="K9" i="21"/>
  <c r="J9" i="21"/>
  <c r="I9" i="21"/>
  <c r="T8" i="21"/>
  <c r="U8" i="21" s="1"/>
  <c r="R8" i="21"/>
  <c r="S8" i="21" s="1"/>
  <c r="Q8" i="21"/>
  <c r="O8" i="21"/>
  <c r="M8" i="21"/>
  <c r="L8" i="21"/>
  <c r="K8" i="21"/>
  <c r="J8" i="21"/>
  <c r="I8" i="21"/>
  <c r="T7" i="21"/>
  <c r="U7" i="21" s="1"/>
  <c r="R7" i="21"/>
  <c r="S7" i="21" s="1"/>
  <c r="Q7" i="21"/>
  <c r="I7" i="21"/>
  <c r="T6" i="21"/>
  <c r="U6" i="21" s="1"/>
  <c r="R6" i="21"/>
  <c r="S6" i="21" s="1"/>
  <c r="Q6" i="21"/>
  <c r="I6" i="21"/>
  <c r="T5" i="21"/>
  <c r="U5" i="21" s="1"/>
  <c r="R5" i="21"/>
  <c r="S5" i="21" s="1"/>
  <c r="Q5" i="21"/>
  <c r="I5" i="21"/>
  <c r="T4" i="21"/>
  <c r="U4" i="21" s="1"/>
  <c r="R4" i="21"/>
  <c r="S4" i="21" s="1"/>
  <c r="Q4" i="21"/>
  <c r="I4" i="21"/>
  <c r="T3" i="21"/>
  <c r="U3" i="21" s="1"/>
  <c r="R3" i="21"/>
  <c r="S3" i="21" s="1"/>
  <c r="Q3" i="21"/>
  <c r="I3" i="21"/>
  <c r="Q2" i="21"/>
  <c r="I2" i="21"/>
</calcChain>
</file>

<file path=xl/sharedStrings.xml><?xml version="1.0" encoding="utf-8"?>
<sst xmlns="http://schemas.openxmlformats.org/spreadsheetml/2006/main" count="2109" uniqueCount="54">
  <si>
    <t>Index Options</t>
  </si>
  <si>
    <t>CE</t>
  </si>
  <si>
    <t>INSTRUMENT</t>
  </si>
  <si>
    <t>TYPE</t>
  </si>
  <si>
    <t>Expiry</t>
  </si>
  <si>
    <t>Date</t>
  </si>
  <si>
    <t>Option</t>
  </si>
  <si>
    <t>Strike</t>
  </si>
  <si>
    <t>OPEN</t>
  </si>
  <si>
    <t>HIGH</t>
  </si>
  <si>
    <t>LOW</t>
  </si>
  <si>
    <t>CLOSE</t>
  </si>
  <si>
    <t>PREV.</t>
  </si>
  <si>
    <t>LAST</t>
  </si>
  <si>
    <t>CHNG</t>
  </si>
  <si>
    <t>%CHNG</t>
  </si>
  <si>
    <t>VOLUME</t>
  </si>
  <si>
    <t>(CONTRACTS)</t>
  </si>
  <si>
    <t>VALUE</t>
  </si>
  <si>
    <t>(₹ Lakhs)</t>
  </si>
  <si>
    <t>PE</t>
  </si>
  <si>
    <t xml:space="preserve">Boundary line </t>
  </si>
  <si>
    <t>Target 1</t>
  </si>
  <si>
    <t>Target 2</t>
  </si>
  <si>
    <t>Target 3</t>
  </si>
  <si>
    <t>Target 4</t>
  </si>
  <si>
    <t>Green dotted line</t>
  </si>
  <si>
    <t>Green thick line</t>
  </si>
  <si>
    <t xml:space="preserve">AVG LINE </t>
  </si>
  <si>
    <t xml:space="preserve">90 %OF CLOSE PRICE </t>
  </si>
  <si>
    <t>10 %OF CLOSE PRICE (C4)</t>
  </si>
  <si>
    <t xml:space="preserve">99 %OF CLOSE PRICE </t>
  </si>
  <si>
    <t>1 %OF CLOSE PRICE C5</t>
  </si>
  <si>
    <t>25 % OF CLOSE PRICE C3</t>
  </si>
  <si>
    <t>INTRADAY</t>
  </si>
  <si>
    <t>Note :</t>
  </si>
  <si>
    <t>AVG</t>
  </si>
  <si>
    <t xml:space="preserve">STRIKE PRICE </t>
  </si>
  <si>
    <t>PUT</t>
  </si>
  <si>
    <t>S1</t>
  </si>
  <si>
    <t>S2</t>
  </si>
  <si>
    <t>S3</t>
  </si>
  <si>
    <t>S4</t>
  </si>
  <si>
    <t>T1</t>
  </si>
  <si>
    <t>T2</t>
  </si>
  <si>
    <t>T3</t>
  </si>
  <si>
    <t>T4</t>
  </si>
  <si>
    <t>-</t>
  </si>
  <si>
    <t>R1</t>
  </si>
  <si>
    <t>R2</t>
  </si>
  <si>
    <t>R3</t>
  </si>
  <si>
    <t>S</t>
  </si>
  <si>
    <t>In case of Option Contracts "Traded Value" represents "Premium Turnover".</t>
  </si>
  <si>
    <t>Quick Links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</si>
</sst>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sz val="8"/>
      <color rgb="FFFFFFFF"/>
      <name val="Arial"/>
      <family val="2"/>
    </font>
    <font>
      <sz val="7"/>
      <color rgb="FFFFFFFF"/>
      <name val="Arial"/>
      <family val="2"/>
    </font>
    <font>
      <b/>
      <sz val="8"/>
      <color rgb="FFFF0000"/>
      <name val="Arial"/>
      <family val="2"/>
    </font>
    <font>
      <b/>
      <sz val="8"/>
      <color theme="9"/>
      <name val="Arial"/>
      <family val="2"/>
    </font>
    <font>
      <sz val="8"/>
      <color rgb="FF000000"/>
      <name val="Icomoon"/>
    </font>
    <font>
      <b/>
      <sz val="8"/>
      <color theme="1"/>
      <name val="Arial"/>
      <family val="2"/>
    </font>
    <font>
      <b/>
      <sz val="8"/>
      <color rgb="FFFFFFFF"/>
      <name val="Arial"/>
      <family val="2"/>
    </font>
    <font>
      <b/>
      <sz val="9"/>
      <color rgb="FFFFFFFF"/>
      <name val="Arial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5"/>
      <name val="Calibri"/>
      <family val="2"/>
      <scheme val="minor"/>
    </font>
    <font>
      <sz val="8"/>
      <color rgb="FFFFFFFF"/>
      <name val="Arial"/>
      <family val="2"/>
    </font>
    <font>
      <sz val="8"/>
      <color rgb="FFFFFFFF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Icomoon"/>
    </font>
    <font>
      <b/>
      <sz val="12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1"/>
      <color rgb="FFFF99FF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rgb="FFFFFFFF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3B2E7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600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9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rgb="FFDFDEDE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66">
    <xf numFmtId="0" fontId="0" fillId="0" borderId="0" xfId="0"/>
    <xf numFmtId="0" fontId="0" fillId="2" borderId="0" xfId="0" applyFill="1"/>
    <xf numFmtId="0" fontId="2" fillId="2" borderId="1" xfId="0" applyFont="1" applyFill="1" applyBorder="1" applyAlignment="1">
      <alignment horizontal="left" vertical="center" wrapText="1" indent="1"/>
    </xf>
    <xf numFmtId="0" fontId="4" fillId="3" borderId="2" xfId="0" applyFont="1" applyFill="1" applyBorder="1" applyAlignment="1">
      <alignment horizontal="left" vertical="center" indent="1"/>
    </xf>
    <xf numFmtId="0" fontId="5" fillId="3" borderId="2" xfId="0" applyFont="1" applyFill="1" applyBorder="1" applyAlignment="1">
      <alignment horizontal="left" vertical="center" indent="1"/>
    </xf>
    <xf numFmtId="0" fontId="3" fillId="2" borderId="2" xfId="0" applyFont="1" applyFill="1" applyBorder="1" applyAlignment="1">
      <alignment horizontal="left" vertical="center" wrapText="1" indent="1"/>
    </xf>
    <xf numFmtId="15" fontId="3" fillId="2" borderId="2" xfId="0" applyNumberFormat="1" applyFont="1" applyFill="1" applyBorder="1" applyAlignment="1">
      <alignment horizontal="left" vertical="center" wrapText="1" indent="1"/>
    </xf>
    <xf numFmtId="4" fontId="3" fillId="2" borderId="2" xfId="0" applyNumberFormat="1" applyFont="1" applyFill="1" applyBorder="1" applyAlignment="1">
      <alignment horizontal="left" vertical="center" wrapText="1" indent="1"/>
    </xf>
    <xf numFmtId="3" fontId="3" fillId="2" borderId="2" xfId="0" applyNumberFormat="1" applyFont="1" applyFill="1" applyBorder="1" applyAlignment="1">
      <alignment horizontal="left" vertical="center" wrapText="1" indent="1"/>
    </xf>
    <xf numFmtId="0" fontId="6" fillId="2" borderId="2" xfId="0" applyFont="1" applyFill="1" applyBorder="1" applyAlignment="1">
      <alignment horizontal="left" vertical="center" wrapText="1" indent="1"/>
    </xf>
    <xf numFmtId="0" fontId="7" fillId="2" borderId="2" xfId="0" applyFont="1" applyFill="1" applyBorder="1" applyAlignment="1">
      <alignment horizontal="left" vertical="center" wrapText="1" indent="1"/>
    </xf>
    <xf numFmtId="0" fontId="0" fillId="5" borderId="0" xfId="0" applyFill="1"/>
    <xf numFmtId="0" fontId="0" fillId="0" borderId="2" xfId="0" applyBorder="1"/>
    <xf numFmtId="0" fontId="0" fillId="4" borderId="2" xfId="0" applyFill="1" applyBorder="1"/>
    <xf numFmtId="0" fontId="0" fillId="6" borderId="2" xfId="0" applyFill="1" applyBorder="1"/>
    <xf numFmtId="0" fontId="3" fillId="5" borderId="2" xfId="0" applyFont="1" applyFill="1" applyBorder="1" applyAlignment="1">
      <alignment horizontal="left" vertical="center" wrapText="1" indent="1"/>
    </xf>
    <xf numFmtId="15" fontId="2" fillId="2" borderId="1" xfId="0" applyNumberFormat="1" applyFont="1" applyFill="1" applyBorder="1" applyAlignment="1">
      <alignment horizontal="left" vertical="center" wrapText="1" indent="1"/>
    </xf>
    <xf numFmtId="4" fontId="2" fillId="2" borderId="1" xfId="0" applyNumberFormat="1" applyFont="1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left" vertical="center" wrapText="1" indent="1"/>
    </xf>
    <xf numFmtId="3" fontId="2" fillId="2" borderId="1" xfId="0" applyNumberFormat="1" applyFont="1" applyFill="1" applyBorder="1" applyAlignment="1">
      <alignment horizontal="left" vertical="center" wrapText="1" indent="1"/>
    </xf>
    <xf numFmtId="0" fontId="8" fillId="2" borderId="1" xfId="0" applyFont="1" applyFill="1" applyBorder="1" applyAlignment="1">
      <alignment horizontal="left" vertical="center" wrapText="1" indent="1"/>
    </xf>
    <xf numFmtId="4" fontId="3" fillId="2" borderId="1" xfId="0" applyNumberFormat="1" applyFont="1" applyFill="1" applyBorder="1" applyAlignment="1">
      <alignment horizontal="left" vertical="center" wrapText="1" indent="1"/>
    </xf>
    <xf numFmtId="0" fontId="9" fillId="4" borderId="0" xfId="0" applyFont="1" applyFill="1" applyAlignment="1">
      <alignment horizontal="center" vertical="center" wrapText="1"/>
    </xf>
    <xf numFmtId="0" fontId="1" fillId="6" borderId="2" xfId="0" applyFont="1" applyFill="1" applyBorder="1" applyAlignment="1">
      <alignment horizontal="center" wrapText="1"/>
    </xf>
    <xf numFmtId="0" fontId="1" fillId="11" borderId="2" xfId="0" applyFont="1" applyFill="1" applyBorder="1" applyAlignment="1">
      <alignment horizontal="center" wrapText="1"/>
    </xf>
    <xf numFmtId="0" fontId="1" fillId="7" borderId="2" xfId="0" applyFont="1" applyFill="1" applyBorder="1" applyAlignment="1">
      <alignment horizontal="center" vertical="center" wrapText="1"/>
    </xf>
    <xf numFmtId="0" fontId="0" fillId="14" borderId="2" xfId="0" applyFill="1" applyBorder="1"/>
    <xf numFmtId="0" fontId="0" fillId="12" borderId="2" xfId="0" applyFill="1" applyBorder="1"/>
    <xf numFmtId="0" fontId="14" fillId="0" borderId="0" xfId="0" applyFont="1"/>
    <xf numFmtId="0" fontId="0" fillId="12" borderId="3" xfId="0" applyFill="1" applyBorder="1"/>
    <xf numFmtId="0" fontId="0" fillId="14" borderId="5" xfId="0" applyFill="1" applyBorder="1"/>
    <xf numFmtId="0" fontId="0" fillId="0" borderId="6" xfId="0" applyBorder="1"/>
    <xf numFmtId="0" fontId="17" fillId="3" borderId="2" xfId="0" applyFont="1" applyFill="1" applyBorder="1" applyAlignment="1">
      <alignment horizontal="left" vertical="center" indent="1"/>
    </xf>
    <xf numFmtId="0" fontId="17" fillId="3" borderId="2" xfId="0" applyFont="1" applyFill="1" applyBorder="1" applyAlignment="1">
      <alignment vertical="center"/>
    </xf>
    <xf numFmtId="0" fontId="0" fillId="0" borderId="7" xfId="0" applyBorder="1"/>
    <xf numFmtId="0" fontId="0" fillId="12" borderId="5" xfId="0" applyFill="1" applyBorder="1"/>
    <xf numFmtId="0" fontId="0" fillId="12" borderId="8" xfId="0" applyFill="1" applyBorder="1"/>
    <xf numFmtId="0" fontId="0" fillId="14" borderId="4" xfId="0" applyFill="1" applyBorder="1"/>
    <xf numFmtId="0" fontId="0" fillId="12" borderId="4" xfId="0" applyFill="1" applyBorder="1"/>
    <xf numFmtId="0" fontId="0" fillId="12" borderId="9" xfId="0" applyFill="1" applyBorder="1"/>
    <xf numFmtId="0" fontId="1" fillId="13" borderId="3" xfId="0" applyFont="1" applyFill="1" applyBorder="1" applyAlignment="1">
      <alignment horizontal="center" vertical="center" wrapText="1"/>
    </xf>
    <xf numFmtId="0" fontId="15" fillId="0" borderId="2" xfId="0" applyFont="1" applyBorder="1"/>
    <xf numFmtId="0" fontId="16" fillId="15" borderId="2" xfId="0" applyFont="1" applyFill="1" applyBorder="1"/>
    <xf numFmtId="0" fontId="0" fillId="0" borderId="5" xfId="0" applyBorder="1"/>
    <xf numFmtId="0" fontId="10" fillId="3" borderId="2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12" fillId="7" borderId="2" xfId="0" applyFont="1" applyFill="1" applyBorder="1" applyAlignment="1">
      <alignment horizontal="center" vertical="center" wrapText="1"/>
    </xf>
    <xf numFmtId="0" fontId="12" fillId="8" borderId="2" xfId="0" applyFont="1" applyFill="1" applyBorder="1" applyAlignment="1">
      <alignment horizontal="center" vertical="center" wrapText="1"/>
    </xf>
    <xf numFmtId="0" fontId="13" fillId="10" borderId="2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left" vertical="center" wrapText="1" indent="1"/>
    </xf>
    <xf numFmtId="15" fontId="19" fillId="2" borderId="1" xfId="0" applyNumberFormat="1" applyFont="1" applyFill="1" applyBorder="1" applyAlignment="1">
      <alignment horizontal="left" vertical="center" wrapText="1" indent="1"/>
    </xf>
    <xf numFmtId="4" fontId="19" fillId="2" borderId="1" xfId="0" applyNumberFormat="1" applyFont="1" applyFill="1" applyBorder="1" applyAlignment="1">
      <alignment horizontal="left" vertical="center" wrapText="1" indent="1"/>
    </xf>
    <xf numFmtId="0" fontId="20" fillId="2" borderId="1" xfId="0" applyFont="1" applyFill="1" applyBorder="1" applyAlignment="1">
      <alignment horizontal="left" vertical="center" wrapText="1" indent="1"/>
    </xf>
    <xf numFmtId="3" fontId="19" fillId="2" borderId="1" xfId="0" applyNumberFormat="1" applyFont="1" applyFill="1" applyBorder="1" applyAlignment="1">
      <alignment horizontal="left" vertical="center" wrapText="1" indent="1"/>
    </xf>
    <xf numFmtId="4" fontId="20" fillId="2" borderId="1" xfId="0" applyNumberFormat="1" applyFont="1" applyFill="1" applyBorder="1" applyAlignment="1">
      <alignment horizontal="left" vertical="center" wrapText="1" indent="1"/>
    </xf>
    <xf numFmtId="0" fontId="18" fillId="3" borderId="0" xfId="0" applyFont="1" applyFill="1" applyAlignment="1">
      <alignment horizontal="left" vertical="center" indent="1"/>
    </xf>
    <xf numFmtId="0" fontId="21" fillId="2" borderId="1" xfId="0" applyFont="1" applyFill="1" applyBorder="1" applyAlignment="1">
      <alignment horizontal="left" vertical="center" wrapText="1" indent="1"/>
    </xf>
    <xf numFmtId="0" fontId="21" fillId="2" borderId="0" xfId="0" applyFont="1" applyFill="1" applyAlignment="1">
      <alignment horizontal="left" vertical="center" wrapText="1" indent="1"/>
    </xf>
    <xf numFmtId="0" fontId="19" fillId="4" borderId="1" xfId="0" applyFont="1" applyFill="1" applyBorder="1" applyAlignment="1">
      <alignment horizontal="left" vertical="center" wrapText="1" indent="1"/>
    </xf>
    <xf numFmtId="15" fontId="19" fillId="4" borderId="1" xfId="0" applyNumberFormat="1" applyFont="1" applyFill="1" applyBorder="1" applyAlignment="1">
      <alignment horizontal="left" vertical="center" wrapText="1" indent="1"/>
    </xf>
    <xf numFmtId="4" fontId="19" fillId="4" borderId="1" xfId="0" applyNumberFormat="1" applyFont="1" applyFill="1" applyBorder="1" applyAlignment="1">
      <alignment horizontal="left" vertical="center" wrapText="1" indent="1"/>
    </xf>
    <xf numFmtId="0" fontId="0" fillId="4" borderId="0" xfId="0" applyFill="1"/>
    <xf numFmtId="0" fontId="22" fillId="0" borderId="0" xfId="0" applyFont="1" applyAlignment="1">
      <alignment vertical="center" wrapText="1"/>
    </xf>
    <xf numFmtId="0" fontId="0" fillId="0" borderId="1" xfId="0" applyBorder="1"/>
    <xf numFmtId="0" fontId="20" fillId="4" borderId="1" xfId="0" applyFont="1" applyFill="1" applyBorder="1" applyAlignment="1">
      <alignment horizontal="left" vertical="center" wrapText="1" indent="1"/>
    </xf>
    <xf numFmtId="3" fontId="19" fillId="4" borderId="1" xfId="0" applyNumberFormat="1" applyFont="1" applyFill="1" applyBorder="1" applyAlignment="1">
      <alignment horizontal="left" vertical="center" wrapText="1" indent="1"/>
    </xf>
    <xf numFmtId="0" fontId="21" fillId="4" borderId="1" xfId="0" applyFont="1" applyFill="1" applyBorder="1" applyAlignment="1">
      <alignment horizontal="left" vertical="center" wrapText="1" indent="1"/>
    </xf>
    <xf numFmtId="0" fontId="2" fillId="2" borderId="0" xfId="0" applyFont="1" applyFill="1" applyAlignment="1">
      <alignment horizontal="left" vertical="center" wrapText="1" indent="1"/>
    </xf>
    <xf numFmtId="15" fontId="2" fillId="2" borderId="0" xfId="0" applyNumberFormat="1" applyFont="1" applyFill="1" applyAlignment="1">
      <alignment horizontal="left" vertical="center" wrapText="1" indent="1"/>
    </xf>
    <xf numFmtId="4" fontId="2" fillId="2" borderId="0" xfId="0" applyNumberFormat="1" applyFont="1" applyFill="1" applyAlignment="1">
      <alignment horizontal="left" vertical="center" wrapText="1" indent="1"/>
    </xf>
    <xf numFmtId="0" fontId="3" fillId="2" borderId="0" xfId="0" applyFont="1" applyFill="1" applyAlignment="1">
      <alignment horizontal="left" vertical="center" wrapText="1" indent="1"/>
    </xf>
    <xf numFmtId="3" fontId="2" fillId="2" borderId="0" xfId="0" applyNumberFormat="1" applyFont="1" applyFill="1" applyAlignment="1">
      <alignment horizontal="left" vertical="center" wrapText="1" indent="1"/>
    </xf>
    <xf numFmtId="0" fontId="19" fillId="2" borderId="10" xfId="0" applyFont="1" applyFill="1" applyBorder="1" applyAlignment="1">
      <alignment horizontal="left" vertical="center" wrapText="1" indent="1"/>
    </xf>
    <xf numFmtId="15" fontId="19" fillId="2" borderId="10" xfId="0" applyNumberFormat="1" applyFont="1" applyFill="1" applyBorder="1" applyAlignment="1">
      <alignment horizontal="left" vertical="center" wrapText="1" indent="1"/>
    </xf>
    <xf numFmtId="4" fontId="19" fillId="2" borderId="10" xfId="0" applyNumberFormat="1" applyFont="1" applyFill="1" applyBorder="1" applyAlignment="1">
      <alignment horizontal="left" vertical="center" wrapText="1" indent="1"/>
    </xf>
    <xf numFmtId="0" fontId="20" fillId="2" borderId="10" xfId="0" applyFont="1" applyFill="1" applyBorder="1" applyAlignment="1">
      <alignment horizontal="left" vertical="center" wrapText="1" indent="1"/>
    </xf>
    <xf numFmtId="3" fontId="19" fillId="2" borderId="10" xfId="0" applyNumberFormat="1" applyFont="1" applyFill="1" applyBorder="1" applyAlignment="1">
      <alignment horizontal="left" vertical="center" wrapText="1" indent="1"/>
    </xf>
    <xf numFmtId="0" fontId="21" fillId="2" borderId="10" xfId="0" applyFont="1" applyFill="1" applyBorder="1" applyAlignment="1">
      <alignment horizontal="left" vertical="center" wrapText="1" indent="1"/>
    </xf>
    <xf numFmtId="4" fontId="20" fillId="2" borderId="10" xfId="0" applyNumberFormat="1" applyFont="1" applyFill="1" applyBorder="1" applyAlignment="1">
      <alignment horizontal="left" vertical="center" wrapText="1" indent="1"/>
    </xf>
    <xf numFmtId="0" fontId="19" fillId="2" borderId="0" xfId="0" applyFont="1" applyFill="1" applyAlignment="1">
      <alignment horizontal="left" vertical="center" wrapText="1" indent="1"/>
    </xf>
    <xf numFmtId="4" fontId="19" fillId="2" borderId="2" xfId="0" applyNumberFormat="1" applyFont="1" applyFill="1" applyBorder="1" applyAlignment="1">
      <alignment horizontal="left" vertical="center" wrapText="1" indent="1"/>
    </xf>
    <xf numFmtId="0" fontId="19" fillId="2" borderId="2" xfId="0" applyFont="1" applyFill="1" applyBorder="1" applyAlignment="1">
      <alignment horizontal="left" vertical="center" wrapText="1" indent="1"/>
    </xf>
    <xf numFmtId="0" fontId="19" fillId="4" borderId="2" xfId="0" applyFont="1" applyFill="1" applyBorder="1" applyAlignment="1">
      <alignment horizontal="left" vertical="center" wrapText="1" indent="1"/>
    </xf>
    <xf numFmtId="4" fontId="19" fillId="4" borderId="2" xfId="0" applyNumberFormat="1" applyFont="1" applyFill="1" applyBorder="1" applyAlignment="1">
      <alignment horizontal="left" vertical="center" wrapText="1" indent="1"/>
    </xf>
    <xf numFmtId="0" fontId="19" fillId="4" borderId="0" xfId="0" applyFont="1" applyFill="1" applyAlignment="1">
      <alignment horizontal="left" vertical="center" wrapText="1" indent="1"/>
    </xf>
    <xf numFmtId="0" fontId="0" fillId="6" borderId="0" xfId="0" applyFill="1"/>
    <xf numFmtId="0" fontId="0" fillId="0" borderId="10" xfId="0" applyBorder="1"/>
    <xf numFmtId="0" fontId="18" fillId="6" borderId="0" xfId="0" applyFont="1" applyFill="1" applyAlignment="1">
      <alignment horizontal="left" vertical="center" indent="1"/>
    </xf>
    <xf numFmtId="0" fontId="19" fillId="6" borderId="10" xfId="0" applyFont="1" applyFill="1" applyBorder="1" applyAlignment="1">
      <alignment horizontal="left" vertical="center" wrapText="1" indent="1"/>
    </xf>
    <xf numFmtId="4" fontId="19" fillId="6" borderId="10" xfId="0" applyNumberFormat="1" applyFont="1" applyFill="1" applyBorder="1" applyAlignment="1">
      <alignment horizontal="left" vertical="center" wrapText="1" indent="1"/>
    </xf>
    <xf numFmtId="0" fontId="23" fillId="2" borderId="10" xfId="0" applyFont="1" applyFill="1" applyBorder="1" applyAlignment="1">
      <alignment horizontal="left" vertical="center" wrapText="1" indent="1"/>
    </xf>
    <xf numFmtId="15" fontId="23" fillId="2" borderId="10" xfId="0" applyNumberFormat="1" applyFont="1" applyFill="1" applyBorder="1" applyAlignment="1">
      <alignment horizontal="left" vertical="center" wrapText="1" indent="1"/>
    </xf>
    <xf numFmtId="4" fontId="23" fillId="2" borderId="10" xfId="0" applyNumberFormat="1" applyFont="1" applyFill="1" applyBorder="1" applyAlignment="1">
      <alignment horizontal="left" vertical="center" wrapText="1" indent="1"/>
    </xf>
    <xf numFmtId="0" fontId="0" fillId="13" borderId="0" xfId="0" applyFill="1"/>
    <xf numFmtId="0" fontId="0" fillId="6" borderId="10" xfId="0" applyFill="1" applyBorder="1"/>
    <xf numFmtId="0" fontId="0" fillId="16" borderId="0" xfId="0" applyFill="1"/>
    <xf numFmtId="0" fontId="18" fillId="13" borderId="0" xfId="0" applyFont="1" applyFill="1" applyAlignment="1">
      <alignment horizontal="left" vertical="center" indent="1"/>
    </xf>
    <xf numFmtId="0" fontId="19" fillId="13" borderId="10" xfId="0" applyFont="1" applyFill="1" applyBorder="1" applyAlignment="1">
      <alignment horizontal="left" vertical="center" wrapText="1" indent="1"/>
    </xf>
    <xf numFmtId="4" fontId="19" fillId="13" borderId="10" xfId="0" applyNumberFormat="1" applyFont="1" applyFill="1" applyBorder="1" applyAlignment="1">
      <alignment horizontal="left" vertical="center" wrapText="1" indent="1"/>
    </xf>
    <xf numFmtId="0" fontId="0" fillId="13" borderId="10" xfId="0" applyFill="1" applyBorder="1"/>
    <xf numFmtId="0" fontId="19" fillId="17" borderId="10" xfId="0" applyFont="1" applyFill="1" applyBorder="1" applyAlignment="1">
      <alignment horizontal="left" vertical="center" wrapText="1" indent="1"/>
    </xf>
    <xf numFmtId="15" fontId="19" fillId="17" borderId="10" xfId="0" applyNumberFormat="1" applyFont="1" applyFill="1" applyBorder="1" applyAlignment="1">
      <alignment horizontal="left" vertical="center" wrapText="1" indent="1"/>
    </xf>
    <xf numFmtId="4" fontId="19" fillId="17" borderId="10" xfId="0" applyNumberFormat="1" applyFont="1" applyFill="1" applyBorder="1" applyAlignment="1">
      <alignment horizontal="left" vertical="center" wrapText="1" indent="1"/>
    </xf>
    <xf numFmtId="0" fontId="0" fillId="18" borderId="0" xfId="0" applyFill="1"/>
    <xf numFmtId="4" fontId="0" fillId="0" borderId="0" xfId="0" applyNumberFormat="1"/>
    <xf numFmtId="0" fontId="0" fillId="17" borderId="0" xfId="0" applyFill="1"/>
    <xf numFmtId="4" fontId="0" fillId="17" borderId="0" xfId="0" applyNumberFormat="1" applyFill="1"/>
    <xf numFmtId="0" fontId="0" fillId="19" borderId="0" xfId="0" applyFill="1"/>
    <xf numFmtId="0" fontId="0" fillId="21" borderId="0" xfId="0" applyFill="1"/>
    <xf numFmtId="0" fontId="1" fillId="0" borderId="0" xfId="0" applyFont="1" applyAlignment="1">
      <alignment horizontal="center" vertical="center"/>
    </xf>
    <xf numFmtId="0" fontId="0" fillId="9" borderId="2" xfId="0" applyFill="1" applyBorder="1"/>
    <xf numFmtId="0" fontId="0" fillId="22" borderId="2" xfId="0" applyFill="1" applyBorder="1"/>
    <xf numFmtId="4" fontId="0" fillId="20" borderId="0" xfId="0" applyNumberFormat="1" applyFill="1"/>
    <xf numFmtId="4" fontId="0" fillId="16" borderId="0" xfId="0" applyNumberFormat="1" applyFill="1"/>
    <xf numFmtId="0" fontId="0" fillId="23" borderId="2" xfId="0" applyFill="1" applyBorder="1"/>
    <xf numFmtId="0" fontId="0" fillId="24" borderId="2" xfId="0" applyFill="1" applyBorder="1"/>
    <xf numFmtId="0" fontId="0" fillId="25" borderId="2" xfId="0" applyFill="1" applyBorder="1"/>
    <xf numFmtId="0" fontId="0" fillId="8" borderId="2" xfId="0" applyFill="1" applyBorder="1"/>
    <xf numFmtId="0" fontId="23" fillId="26" borderId="10" xfId="0" applyFont="1" applyFill="1" applyBorder="1" applyAlignment="1">
      <alignment horizontal="left" vertical="center" wrapText="1" indent="1"/>
    </xf>
    <xf numFmtId="15" fontId="23" fillId="26" borderId="10" xfId="0" applyNumberFormat="1" applyFont="1" applyFill="1" applyBorder="1" applyAlignment="1">
      <alignment horizontal="left" vertical="center" wrapText="1" indent="1"/>
    </xf>
    <xf numFmtId="4" fontId="23" fillId="26" borderId="10" xfId="0" applyNumberFormat="1" applyFont="1" applyFill="1" applyBorder="1" applyAlignment="1">
      <alignment horizontal="left" vertical="center" wrapText="1" indent="1"/>
    </xf>
    <xf numFmtId="0" fontId="1" fillId="18" borderId="2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23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21" borderId="2" xfId="0" applyFont="1" applyFill="1" applyBorder="1" applyAlignment="1">
      <alignment horizontal="center" vertical="center"/>
    </xf>
    <xf numFmtId="0" fontId="24" fillId="23" borderId="2" xfId="0" applyFont="1" applyFill="1" applyBorder="1" applyAlignment="1">
      <alignment horizontal="center" vertical="center"/>
    </xf>
    <xf numFmtId="0" fontId="25" fillId="23" borderId="2" xfId="0" applyFont="1" applyFill="1" applyBorder="1" applyAlignment="1">
      <alignment horizontal="center" vertical="center"/>
    </xf>
    <xf numFmtId="4" fontId="25" fillId="23" borderId="2" xfId="0" applyNumberFormat="1" applyFont="1" applyFill="1" applyBorder="1" applyAlignment="1">
      <alignment horizontal="center" vertical="center"/>
    </xf>
    <xf numFmtId="4" fontId="1" fillId="6" borderId="2" xfId="0" applyNumberFormat="1" applyFont="1" applyFill="1" applyBorder="1" applyAlignment="1">
      <alignment horizontal="center" vertical="center"/>
    </xf>
    <xf numFmtId="4" fontId="1" fillId="7" borderId="2" xfId="0" applyNumberFormat="1" applyFont="1" applyFill="1" applyBorder="1" applyAlignment="1">
      <alignment horizontal="center" vertical="center"/>
    </xf>
    <xf numFmtId="4" fontId="1" fillId="21" borderId="2" xfId="0" applyNumberFormat="1" applyFont="1" applyFill="1" applyBorder="1" applyAlignment="1">
      <alignment horizontal="center" vertical="center"/>
    </xf>
    <xf numFmtId="15" fontId="19" fillId="2" borderId="0" xfId="0" applyNumberFormat="1" applyFont="1" applyFill="1" applyAlignment="1">
      <alignment horizontal="left" vertical="center" wrapText="1" indent="1"/>
    </xf>
    <xf numFmtId="4" fontId="19" fillId="2" borderId="0" xfId="0" applyNumberFormat="1" applyFont="1" applyFill="1" applyAlignment="1">
      <alignment horizontal="left" vertical="center" wrapText="1" indent="1"/>
    </xf>
    <xf numFmtId="0" fontId="0" fillId="7" borderId="0" xfId="0" applyFill="1"/>
    <xf numFmtId="3" fontId="19" fillId="2" borderId="0" xfId="0" applyNumberFormat="1" applyFont="1" applyFill="1" applyAlignment="1">
      <alignment horizontal="left" vertical="center" wrapText="1" indent="1"/>
    </xf>
    <xf numFmtId="0" fontId="0" fillId="27" borderId="0" xfId="0" applyFill="1"/>
    <xf numFmtId="0" fontId="20" fillId="2" borderId="0" xfId="0" applyFont="1" applyFill="1" applyAlignment="1">
      <alignment horizontal="left" vertical="center" wrapText="1" indent="1"/>
    </xf>
    <xf numFmtId="15" fontId="19" fillId="13" borderId="10" xfId="0" applyNumberFormat="1" applyFont="1" applyFill="1" applyBorder="1" applyAlignment="1">
      <alignment horizontal="left" vertical="center" wrapText="1" indent="1"/>
    </xf>
    <xf numFmtId="0" fontId="0" fillId="22" borderId="0" xfId="0" applyFill="1"/>
    <xf numFmtId="0" fontId="19" fillId="4" borderId="10" xfId="0" applyFont="1" applyFill="1" applyBorder="1" applyAlignment="1">
      <alignment horizontal="left" vertical="center" wrapText="1" indent="1"/>
    </xf>
    <xf numFmtId="15" fontId="19" fillId="4" borderId="10" xfId="0" applyNumberFormat="1" applyFont="1" applyFill="1" applyBorder="1" applyAlignment="1">
      <alignment horizontal="left" vertical="center" wrapText="1" indent="1"/>
    </xf>
    <xf numFmtId="4" fontId="19" fillId="4" borderId="10" xfId="0" applyNumberFormat="1" applyFont="1" applyFill="1" applyBorder="1" applyAlignment="1">
      <alignment horizontal="left" vertical="center" wrapText="1" indent="1"/>
    </xf>
    <xf numFmtId="0" fontId="20" fillId="4" borderId="10" xfId="0" applyFont="1" applyFill="1" applyBorder="1" applyAlignment="1">
      <alignment horizontal="left" vertical="center" wrapText="1" indent="1"/>
    </xf>
    <xf numFmtId="3" fontId="19" fillId="4" borderId="10" xfId="0" applyNumberFormat="1" applyFont="1" applyFill="1" applyBorder="1" applyAlignment="1">
      <alignment horizontal="left" vertical="center" wrapText="1" indent="1"/>
    </xf>
    <xf numFmtId="0" fontId="21" fillId="4" borderId="10" xfId="0" applyFont="1" applyFill="1" applyBorder="1" applyAlignment="1">
      <alignment horizontal="left" vertical="center" wrapText="1" indent="1"/>
    </xf>
    <xf numFmtId="0" fontId="26" fillId="2" borderId="10" xfId="0" applyFont="1" applyFill="1" applyBorder="1" applyAlignment="1">
      <alignment horizontal="left" vertical="center" wrapText="1" indent="1"/>
    </xf>
    <xf numFmtId="3" fontId="23" fillId="2" borderId="10" xfId="0" applyNumberFormat="1" applyFont="1" applyFill="1" applyBorder="1" applyAlignment="1">
      <alignment horizontal="left" vertical="center" wrapText="1" indent="1"/>
    </xf>
    <xf numFmtId="4" fontId="26" fillId="2" borderId="10" xfId="0" applyNumberFormat="1" applyFont="1" applyFill="1" applyBorder="1" applyAlignment="1">
      <alignment horizontal="left" vertical="center" wrapText="1" indent="1"/>
    </xf>
    <xf numFmtId="0" fontId="26" fillId="0" borderId="0" xfId="0" applyFont="1" applyAlignment="1">
      <alignment horizontal="left" vertical="center" indent="1"/>
    </xf>
    <xf numFmtId="0" fontId="23" fillId="0" borderId="0" xfId="0" applyFont="1" applyAlignment="1">
      <alignment horizontal="left" vertical="center" indent="2"/>
    </xf>
    <xf numFmtId="0" fontId="27" fillId="0" borderId="0" xfId="0" applyFont="1" applyAlignment="1">
      <alignment horizontal="left" vertical="center" wrapText="1" indent="1"/>
    </xf>
    <xf numFmtId="0" fontId="23" fillId="2" borderId="0" xfId="0" applyFont="1" applyFill="1" applyAlignment="1">
      <alignment horizontal="left" vertical="center" wrapText="1" indent="1"/>
    </xf>
    <xf numFmtId="15" fontId="23" fillId="2" borderId="0" xfId="0" applyNumberFormat="1" applyFont="1" applyFill="1" applyAlignment="1">
      <alignment horizontal="left" vertical="center" wrapText="1" indent="1"/>
    </xf>
    <xf numFmtId="4" fontId="23" fillId="2" borderId="0" xfId="0" applyNumberFormat="1" applyFont="1" applyFill="1" applyAlignment="1">
      <alignment horizontal="left" vertical="center" wrapText="1" indent="1"/>
    </xf>
    <xf numFmtId="4" fontId="26" fillId="2" borderId="0" xfId="0" applyNumberFormat="1" applyFont="1" applyFill="1" applyAlignment="1">
      <alignment horizontal="left" vertical="center" wrapText="1" indent="1"/>
    </xf>
    <xf numFmtId="0" fontId="26" fillId="2" borderId="0" xfId="0" applyFont="1" applyFill="1" applyAlignment="1">
      <alignment horizontal="left" vertical="center" wrapText="1" indent="1"/>
    </xf>
    <xf numFmtId="3" fontId="23" fillId="2" borderId="0" xfId="0" applyNumberFormat="1" applyFont="1" applyFill="1" applyAlignment="1">
      <alignment horizontal="left" vertical="center" wrapText="1" indent="1"/>
    </xf>
    <xf numFmtId="0" fontId="21" fillId="7" borderId="10" xfId="0" applyFont="1" applyFill="1" applyBorder="1" applyAlignment="1">
      <alignment horizontal="left" vertical="center" wrapText="1" indent="1"/>
    </xf>
    <xf numFmtId="0" fontId="19" fillId="7" borderId="10" xfId="0" applyFont="1" applyFill="1" applyBorder="1" applyAlignment="1">
      <alignment horizontal="left" vertical="center" wrapText="1" indent="1"/>
    </xf>
    <xf numFmtId="15" fontId="19" fillId="7" borderId="10" xfId="0" applyNumberFormat="1" applyFont="1" applyFill="1" applyBorder="1" applyAlignment="1">
      <alignment horizontal="left" vertical="center" wrapText="1" indent="1"/>
    </xf>
    <xf numFmtId="4" fontId="19" fillId="7" borderId="10" xfId="0" applyNumberFormat="1" applyFont="1" applyFill="1" applyBorder="1" applyAlignment="1">
      <alignment horizontal="left" vertical="center" wrapText="1" indent="1"/>
    </xf>
    <xf numFmtId="0" fontId="20" fillId="7" borderId="10" xfId="0" applyFont="1" applyFill="1" applyBorder="1" applyAlignment="1">
      <alignment horizontal="left" vertical="center" wrapText="1" indent="1"/>
    </xf>
    <xf numFmtId="3" fontId="19" fillId="7" borderId="10" xfId="0" applyNumberFormat="1" applyFont="1" applyFill="1" applyBorder="1" applyAlignment="1">
      <alignment horizontal="left" vertical="center" wrapText="1" indent="1"/>
    </xf>
    <xf numFmtId="0" fontId="4" fillId="3" borderId="2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3CC33"/>
      <color rgb="FFFF00FF"/>
      <color rgb="FFFF6699"/>
      <color rgb="FFFF99FF"/>
      <color rgb="FFFF66FF"/>
      <color rgb="FFFF66CC"/>
      <color rgb="FFD600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S17"/>
  <sheetViews>
    <sheetView topLeftCell="B1" zoomScale="115" zoomScaleNormal="115" workbookViewId="0">
      <selection activeCell="M14" sqref="M14"/>
    </sheetView>
  </sheetViews>
  <sheetFormatPr defaultRowHeight="14.4"/>
  <cols>
    <col min="4" max="7" width="8.88671875" customWidth="1"/>
    <col min="16" max="16" width="12.33203125" customWidth="1"/>
    <col min="17" max="17" width="21.6640625" customWidth="1"/>
    <col min="18" max="18" width="17.33203125" customWidth="1"/>
  </cols>
  <sheetData>
    <row r="1" spans="3:19">
      <c r="D1" s="3" t="s">
        <v>2</v>
      </c>
      <c r="E1" s="3" t="s">
        <v>4</v>
      </c>
      <c r="F1" s="165" t="s">
        <v>6</v>
      </c>
      <c r="G1" s="165" t="s">
        <v>7</v>
      </c>
      <c r="H1" s="165" t="s">
        <v>8</v>
      </c>
      <c r="I1" s="165" t="s">
        <v>9</v>
      </c>
      <c r="J1" s="165" t="s">
        <v>10</v>
      </c>
      <c r="K1" s="165" t="s">
        <v>11</v>
      </c>
      <c r="L1" s="3" t="s">
        <v>12</v>
      </c>
      <c r="M1" s="165" t="s">
        <v>13</v>
      </c>
      <c r="N1" s="165" t="s">
        <v>14</v>
      </c>
      <c r="O1" s="165" t="s">
        <v>15</v>
      </c>
      <c r="P1" s="3" t="s">
        <v>16</v>
      </c>
      <c r="Q1" s="3" t="s">
        <v>18</v>
      </c>
    </row>
    <row r="2" spans="3:19">
      <c r="D2" s="3" t="s">
        <v>3</v>
      </c>
      <c r="E2" s="3" t="s">
        <v>5</v>
      </c>
      <c r="F2" s="165"/>
      <c r="G2" s="165"/>
      <c r="H2" s="165"/>
      <c r="I2" s="165"/>
      <c r="J2" s="165"/>
      <c r="K2" s="165"/>
      <c r="L2" s="3" t="s">
        <v>11</v>
      </c>
      <c r="M2" s="165"/>
      <c r="N2" s="165"/>
      <c r="O2" s="165"/>
      <c r="P2" s="4" t="s">
        <v>17</v>
      </c>
      <c r="Q2" s="4" t="s">
        <v>19</v>
      </c>
    </row>
    <row r="3" spans="3:19" ht="20.399999999999999">
      <c r="C3" s="1"/>
      <c r="D3" s="5" t="s">
        <v>0</v>
      </c>
      <c r="E3" s="6">
        <v>46000</v>
      </c>
      <c r="F3" s="10" t="s">
        <v>1</v>
      </c>
      <c r="G3" s="7">
        <v>26200</v>
      </c>
      <c r="H3" s="5">
        <v>49.7</v>
      </c>
      <c r="I3" s="5">
        <v>106</v>
      </c>
      <c r="J3" s="5">
        <v>29.9</v>
      </c>
      <c r="K3" s="15">
        <v>81.599999999999994</v>
      </c>
      <c r="L3" s="5">
        <v>51.75</v>
      </c>
      <c r="M3" s="5">
        <v>78.25</v>
      </c>
      <c r="N3" s="5">
        <v>26.5</v>
      </c>
      <c r="O3" s="5">
        <v>51.21</v>
      </c>
      <c r="P3" s="8">
        <v>7121360</v>
      </c>
      <c r="Q3" s="7">
        <v>387010.31</v>
      </c>
    </row>
    <row r="4" spans="3:19" ht="21" thickBot="1">
      <c r="C4" s="2"/>
      <c r="D4" s="5" t="s">
        <v>0</v>
      </c>
      <c r="E4" s="6">
        <v>46000</v>
      </c>
      <c r="F4" s="10" t="s">
        <v>1</v>
      </c>
      <c r="G4" s="7">
        <v>26100</v>
      </c>
      <c r="H4" s="5">
        <v>88.7</v>
      </c>
      <c r="I4" s="5">
        <v>174</v>
      </c>
      <c r="J4" s="5">
        <v>60</v>
      </c>
      <c r="K4" s="15">
        <v>145</v>
      </c>
      <c r="L4" s="5">
        <v>90.5</v>
      </c>
      <c r="M4" s="5">
        <v>141.65</v>
      </c>
      <c r="N4" s="5">
        <v>51.15</v>
      </c>
      <c r="O4" s="5">
        <v>56.52</v>
      </c>
      <c r="P4" s="8">
        <v>5741833</v>
      </c>
      <c r="Q4" s="7">
        <v>487912.26</v>
      </c>
    </row>
    <row r="5" spans="3:19" ht="21" thickBot="1">
      <c r="C5" s="2"/>
      <c r="D5" s="5" t="s">
        <v>0</v>
      </c>
      <c r="E5" s="6">
        <v>46000</v>
      </c>
      <c r="F5" s="10" t="s">
        <v>1</v>
      </c>
      <c r="G5" s="7">
        <v>26300</v>
      </c>
      <c r="H5" s="5">
        <v>23.8</v>
      </c>
      <c r="I5" s="5">
        <v>56.75</v>
      </c>
      <c r="J5" s="5">
        <v>14.35</v>
      </c>
      <c r="K5" s="15">
        <v>37.85</v>
      </c>
      <c r="L5" s="5">
        <v>27.4</v>
      </c>
      <c r="M5" s="5">
        <v>36.049999999999997</v>
      </c>
      <c r="N5" s="5">
        <v>8.65</v>
      </c>
      <c r="O5" s="5">
        <v>31.57</v>
      </c>
      <c r="P5" s="8">
        <v>4803743</v>
      </c>
      <c r="Q5" s="7">
        <v>125954.14</v>
      </c>
    </row>
    <row r="6" spans="3:19" ht="21" thickBot="1">
      <c r="C6" s="2"/>
      <c r="D6" s="5" t="s">
        <v>0</v>
      </c>
      <c r="E6" s="6">
        <v>46000</v>
      </c>
      <c r="F6" s="10" t="s">
        <v>1</v>
      </c>
      <c r="G6" s="7">
        <v>26400</v>
      </c>
      <c r="H6" s="5">
        <v>13.6</v>
      </c>
      <c r="I6" s="5">
        <v>25.45</v>
      </c>
      <c r="J6" s="5">
        <v>7.05</v>
      </c>
      <c r="K6" s="15">
        <v>14.55</v>
      </c>
      <c r="L6" s="5">
        <v>14.05</v>
      </c>
      <c r="M6" s="5">
        <v>13.5</v>
      </c>
      <c r="N6" s="5">
        <v>-0.55000000000000004</v>
      </c>
      <c r="O6" s="5">
        <v>-3.91</v>
      </c>
      <c r="P6" s="8">
        <v>3522374</v>
      </c>
      <c r="Q6" s="7">
        <v>40551.33</v>
      </c>
    </row>
    <row r="7" spans="3:19" ht="20.399999999999999">
      <c r="D7" s="5" t="s">
        <v>0</v>
      </c>
      <c r="E7" s="6">
        <v>46000</v>
      </c>
      <c r="F7" s="10" t="s">
        <v>1</v>
      </c>
      <c r="G7" s="7">
        <v>26000</v>
      </c>
      <c r="H7" s="5">
        <v>132</v>
      </c>
      <c r="I7" s="5">
        <v>256</v>
      </c>
      <c r="J7" s="5">
        <v>108</v>
      </c>
      <c r="K7" s="15">
        <v>224.6</v>
      </c>
      <c r="L7" s="5">
        <v>144.69999999999999</v>
      </c>
      <c r="M7" s="5">
        <v>222.35</v>
      </c>
      <c r="N7" s="5">
        <v>77.650000000000006</v>
      </c>
      <c r="O7" s="5">
        <v>53.66</v>
      </c>
      <c r="P7" s="8">
        <v>2948330</v>
      </c>
      <c r="Q7" s="7">
        <v>374364.2</v>
      </c>
    </row>
    <row r="8" spans="3:19" ht="20.399999999999999">
      <c r="D8" s="5" t="s">
        <v>0</v>
      </c>
      <c r="E8" s="6">
        <v>46000</v>
      </c>
      <c r="F8" s="10" t="s">
        <v>1</v>
      </c>
      <c r="G8" s="7">
        <v>25900</v>
      </c>
      <c r="H8" s="5">
        <v>213.95</v>
      </c>
      <c r="I8" s="5">
        <v>344.9</v>
      </c>
      <c r="J8" s="5">
        <v>172.9</v>
      </c>
      <c r="K8" s="15">
        <v>314.75</v>
      </c>
      <c r="L8" s="5">
        <v>215.1</v>
      </c>
      <c r="M8" s="5">
        <v>312</v>
      </c>
      <c r="N8" s="5">
        <v>96.9</v>
      </c>
      <c r="O8" s="5">
        <v>45.05</v>
      </c>
      <c r="P8" s="8">
        <v>525314</v>
      </c>
      <c r="Q8" s="7">
        <v>97318.36</v>
      </c>
    </row>
    <row r="9" spans="3:19">
      <c r="K9" s="11"/>
    </row>
    <row r="10" spans="3:19">
      <c r="K10" s="11"/>
    </row>
    <row r="11" spans="3:19">
      <c r="D11" s="1"/>
      <c r="E11" s="1"/>
      <c r="F11" s="1"/>
      <c r="G11" s="1"/>
      <c r="H11" s="1"/>
      <c r="I11" s="1"/>
      <c r="J11" s="1"/>
      <c r="K11" s="11"/>
      <c r="L11" s="1"/>
      <c r="M11" s="1"/>
      <c r="N11" s="1"/>
      <c r="O11" s="1"/>
      <c r="P11" s="1"/>
      <c r="Q11" s="1"/>
      <c r="R11" s="1"/>
      <c r="S11" s="1"/>
    </row>
    <row r="12" spans="3:19" ht="20.399999999999999">
      <c r="D12" s="5" t="s">
        <v>0</v>
      </c>
      <c r="E12" s="6">
        <v>46000</v>
      </c>
      <c r="F12" s="9" t="s">
        <v>20</v>
      </c>
      <c r="G12" s="7">
        <v>26100</v>
      </c>
      <c r="H12" s="5">
        <v>128.75</v>
      </c>
      <c r="I12" s="5">
        <v>134.1</v>
      </c>
      <c r="J12" s="5">
        <v>35.25</v>
      </c>
      <c r="K12" s="15">
        <v>39.65</v>
      </c>
      <c r="L12" s="5">
        <v>115.5</v>
      </c>
      <c r="M12" s="5">
        <v>37.85</v>
      </c>
      <c r="N12" s="5">
        <v>-77.650000000000006</v>
      </c>
      <c r="O12" s="5">
        <v>-67.23</v>
      </c>
      <c r="P12" s="8">
        <v>5591852</v>
      </c>
      <c r="Q12" s="7">
        <v>272686.65999999997</v>
      </c>
    </row>
    <row r="13" spans="3:19" ht="20.399999999999999">
      <c r="D13" s="5" t="s">
        <v>0</v>
      </c>
      <c r="E13" s="6">
        <v>46000</v>
      </c>
      <c r="F13" s="9" t="s">
        <v>20</v>
      </c>
      <c r="G13" s="7">
        <v>26200</v>
      </c>
      <c r="H13" s="5">
        <v>185</v>
      </c>
      <c r="I13" s="5">
        <v>201.55</v>
      </c>
      <c r="J13" s="5">
        <v>68.7</v>
      </c>
      <c r="K13" s="15">
        <v>75.599999999999994</v>
      </c>
      <c r="L13" s="5">
        <v>177.05</v>
      </c>
      <c r="M13" s="5">
        <v>74.45</v>
      </c>
      <c r="N13" s="5">
        <v>-102.6</v>
      </c>
      <c r="O13" s="5">
        <v>-57.95</v>
      </c>
      <c r="P13" s="8">
        <v>4150217</v>
      </c>
      <c r="Q13" s="7">
        <v>292839.31</v>
      </c>
    </row>
    <row r="14" spans="3:19" ht="20.399999999999999">
      <c r="D14" s="5" t="s">
        <v>0</v>
      </c>
      <c r="E14" s="6">
        <v>46000</v>
      </c>
      <c r="F14" s="9" t="s">
        <v>20</v>
      </c>
      <c r="G14" s="7">
        <v>26000</v>
      </c>
      <c r="H14" s="5">
        <v>75</v>
      </c>
      <c r="I14" s="5">
        <v>82.75</v>
      </c>
      <c r="J14" s="5">
        <v>17.649999999999999</v>
      </c>
      <c r="K14" s="15">
        <v>19.850000000000001</v>
      </c>
      <c r="L14" s="5">
        <v>70.150000000000006</v>
      </c>
      <c r="M14" s="5">
        <v>18.2</v>
      </c>
      <c r="N14" s="5">
        <v>-51.95</v>
      </c>
      <c r="O14" s="5">
        <v>-74.06</v>
      </c>
      <c r="P14" s="8">
        <v>6212187</v>
      </c>
      <c r="Q14" s="7">
        <v>200575.99</v>
      </c>
    </row>
    <row r="15" spans="3:19" ht="20.399999999999999">
      <c r="D15" s="5" t="s">
        <v>0</v>
      </c>
      <c r="E15" s="6">
        <v>46000</v>
      </c>
      <c r="F15" s="9" t="s">
        <v>20</v>
      </c>
      <c r="G15" s="7">
        <v>25400</v>
      </c>
      <c r="H15" s="5">
        <v>3.1</v>
      </c>
      <c r="I15" s="5">
        <v>3.3</v>
      </c>
      <c r="J15" s="5">
        <v>2.1</v>
      </c>
      <c r="K15" s="15">
        <v>2.4500000000000002</v>
      </c>
      <c r="L15" s="5">
        <v>3.4</v>
      </c>
      <c r="M15" s="5">
        <v>2.6</v>
      </c>
      <c r="N15" s="5">
        <v>-0.8</v>
      </c>
      <c r="O15" s="5">
        <v>-23.53</v>
      </c>
      <c r="P15" s="8">
        <v>970585</v>
      </c>
      <c r="Q15" s="7">
        <v>1921.76</v>
      </c>
    </row>
    <row r="16" spans="3:19" ht="21" thickBot="1">
      <c r="D16" s="5" t="s">
        <v>0</v>
      </c>
      <c r="E16" s="6">
        <v>46000</v>
      </c>
      <c r="F16" s="9" t="s">
        <v>20</v>
      </c>
      <c r="G16" s="7">
        <v>25900</v>
      </c>
      <c r="H16" s="5">
        <v>44.95</v>
      </c>
      <c r="I16" s="5">
        <v>56.35</v>
      </c>
      <c r="J16" s="5">
        <v>9.35</v>
      </c>
      <c r="K16" s="15">
        <v>10.3</v>
      </c>
      <c r="L16" s="5">
        <v>39.799999999999997</v>
      </c>
      <c r="M16" s="5">
        <v>9.5500000000000007</v>
      </c>
      <c r="N16" s="5">
        <v>-30.25</v>
      </c>
      <c r="O16" s="5">
        <v>-76.010000000000005</v>
      </c>
      <c r="P16" s="8">
        <v>3084974</v>
      </c>
      <c r="Q16" s="7">
        <v>51896.98</v>
      </c>
      <c r="R16" s="2"/>
    </row>
    <row r="17" spans="4:18" ht="21" thickBot="1">
      <c r="D17" s="5" t="s">
        <v>0</v>
      </c>
      <c r="E17" s="6">
        <v>46000</v>
      </c>
      <c r="F17" s="9" t="s">
        <v>20</v>
      </c>
      <c r="G17" s="7">
        <v>26000</v>
      </c>
      <c r="H17" s="5">
        <v>75</v>
      </c>
      <c r="I17" s="5">
        <v>82.75</v>
      </c>
      <c r="J17" s="5">
        <v>17.649999999999999</v>
      </c>
      <c r="K17" s="15">
        <v>19.850000000000001</v>
      </c>
      <c r="L17" s="5">
        <v>70.150000000000006</v>
      </c>
      <c r="M17" s="5">
        <v>18.2</v>
      </c>
      <c r="N17" s="5">
        <v>-51.95</v>
      </c>
      <c r="O17" s="5">
        <v>-74.06</v>
      </c>
      <c r="P17" s="8">
        <v>6212187</v>
      </c>
      <c r="Q17" s="7">
        <v>200575.99</v>
      </c>
      <c r="R17" s="2"/>
    </row>
  </sheetData>
  <mergeCells count="9">
    <mergeCell ref="M1:M2"/>
    <mergeCell ref="N1:N2"/>
    <mergeCell ref="O1:O2"/>
    <mergeCell ref="F1:F2"/>
    <mergeCell ref="G1:G2"/>
    <mergeCell ref="H1:H2"/>
    <mergeCell ref="I1:I2"/>
    <mergeCell ref="J1:J2"/>
    <mergeCell ref="K1:K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B1:S213"/>
  <sheetViews>
    <sheetView topLeftCell="A126" workbookViewId="0">
      <selection activeCell="T132" sqref="T132"/>
    </sheetView>
  </sheetViews>
  <sheetFormatPr defaultRowHeight="14.4"/>
  <cols>
    <col min="7" max="7" width="12.33203125" customWidth="1"/>
    <col min="16" max="16" width="12.33203125" customWidth="1"/>
    <col min="17" max="17" width="12.5546875" customWidth="1"/>
  </cols>
  <sheetData>
    <row r="1" spans="3:18" ht="30" customHeight="1">
      <c r="D1" s="32" t="s">
        <v>2</v>
      </c>
      <c r="E1" s="32" t="s">
        <v>4</v>
      </c>
      <c r="F1" s="33" t="s">
        <v>6</v>
      </c>
      <c r="G1" s="33" t="s">
        <v>7</v>
      </c>
      <c r="H1" s="33" t="s">
        <v>8</v>
      </c>
      <c r="I1" s="33" t="s">
        <v>9</v>
      </c>
      <c r="J1" s="33" t="s">
        <v>10</v>
      </c>
      <c r="K1" s="33" t="s">
        <v>11</v>
      </c>
      <c r="L1" s="32" t="s">
        <v>12</v>
      </c>
      <c r="M1" s="33" t="s">
        <v>13</v>
      </c>
      <c r="N1" s="33" t="s">
        <v>14</v>
      </c>
      <c r="O1" s="33" t="s">
        <v>15</v>
      </c>
      <c r="P1" s="32" t="s">
        <v>16</v>
      </c>
      <c r="Q1" s="32" t="s">
        <v>18</v>
      </c>
    </row>
    <row r="2" spans="3:18" ht="42" thickBot="1">
      <c r="C2" s="49"/>
      <c r="D2" s="49" t="s">
        <v>0</v>
      </c>
      <c r="E2" s="50">
        <v>46125</v>
      </c>
      <c r="F2" s="49" t="s">
        <v>20</v>
      </c>
      <c r="G2" s="51">
        <v>20100</v>
      </c>
      <c r="H2" s="49">
        <v>1.7</v>
      </c>
      <c r="I2" s="49">
        <v>1.9</v>
      </c>
      <c r="J2" s="49">
        <v>0.7</v>
      </c>
      <c r="K2" s="49">
        <v>0.85</v>
      </c>
      <c r="L2" s="49">
        <v>1.55</v>
      </c>
      <c r="M2" s="52">
        <v>0.8</v>
      </c>
      <c r="N2" s="49">
        <v>-0.75</v>
      </c>
      <c r="O2" s="49">
        <v>-48.39</v>
      </c>
      <c r="P2" s="53">
        <v>121961</v>
      </c>
      <c r="Q2" s="49">
        <v>88.79</v>
      </c>
    </row>
    <row r="3" spans="3:18" ht="42" thickBot="1">
      <c r="C3" s="49"/>
      <c r="D3" s="49" t="s">
        <v>0</v>
      </c>
      <c r="E3" s="50">
        <v>46125</v>
      </c>
      <c r="F3" s="49" t="s">
        <v>1</v>
      </c>
      <c r="G3" s="51">
        <v>20100</v>
      </c>
      <c r="H3" s="51">
        <v>3742</v>
      </c>
      <c r="I3" s="51">
        <v>3742</v>
      </c>
      <c r="J3" s="51">
        <v>3742</v>
      </c>
      <c r="K3" s="51">
        <v>3742</v>
      </c>
      <c r="L3" s="51">
        <v>3780</v>
      </c>
      <c r="M3" s="54">
        <v>3742</v>
      </c>
      <c r="N3" s="49">
        <v>-38</v>
      </c>
      <c r="O3" s="49">
        <v>-1.01</v>
      </c>
      <c r="P3" s="49">
        <v>1</v>
      </c>
      <c r="Q3" s="49">
        <v>2.4300000000000002</v>
      </c>
      <c r="R3" s="56"/>
    </row>
    <row r="4" spans="3:18" ht="42" thickBot="1">
      <c r="C4" s="49"/>
      <c r="D4" s="49" t="s">
        <v>0</v>
      </c>
      <c r="E4" s="50">
        <v>46125</v>
      </c>
      <c r="F4" s="49" t="s">
        <v>20</v>
      </c>
      <c r="G4" s="51">
        <v>20150</v>
      </c>
      <c r="H4" s="49">
        <v>1.45</v>
      </c>
      <c r="I4" s="49">
        <v>1.95</v>
      </c>
      <c r="J4" s="49">
        <v>0.8</v>
      </c>
      <c r="K4" s="49">
        <v>0.95</v>
      </c>
      <c r="L4" s="49">
        <v>1.65</v>
      </c>
      <c r="M4" s="52">
        <v>0.95</v>
      </c>
      <c r="N4" s="49">
        <v>-0.7</v>
      </c>
      <c r="O4" s="49">
        <v>-42.42</v>
      </c>
      <c r="P4" s="53">
        <v>15747</v>
      </c>
      <c r="Q4" s="49">
        <v>13.1</v>
      </c>
      <c r="R4" s="56"/>
    </row>
    <row r="5" spans="3:18" ht="42" thickBot="1">
      <c r="C5" s="49"/>
      <c r="D5" s="49" t="s">
        <v>0</v>
      </c>
      <c r="E5" s="50">
        <v>46125</v>
      </c>
      <c r="F5" s="49" t="s">
        <v>20</v>
      </c>
      <c r="G5" s="51">
        <v>20200</v>
      </c>
      <c r="H5" s="49">
        <v>2.25</v>
      </c>
      <c r="I5" s="49">
        <v>3</v>
      </c>
      <c r="J5" s="49">
        <v>0.8</v>
      </c>
      <c r="K5" s="49">
        <v>1.05</v>
      </c>
      <c r="L5" s="49">
        <v>1.65</v>
      </c>
      <c r="M5" s="52">
        <v>0.85</v>
      </c>
      <c r="N5" s="49">
        <v>-0.8</v>
      </c>
      <c r="O5" s="49">
        <v>-48.48</v>
      </c>
      <c r="P5" s="53">
        <v>43113</v>
      </c>
      <c r="Q5" s="49">
        <v>35.869999999999997</v>
      </c>
      <c r="R5" s="56"/>
    </row>
    <row r="6" spans="3:18" ht="42" thickBot="1">
      <c r="C6" s="49"/>
      <c r="D6" s="49" t="s">
        <v>0</v>
      </c>
      <c r="E6" s="50">
        <v>46125</v>
      </c>
      <c r="F6" s="49" t="s">
        <v>20</v>
      </c>
      <c r="G6" s="51">
        <v>20250</v>
      </c>
      <c r="H6" s="49">
        <v>2.25</v>
      </c>
      <c r="I6" s="49">
        <v>2.35</v>
      </c>
      <c r="J6" s="49">
        <v>0.85</v>
      </c>
      <c r="K6" s="49">
        <v>1.05</v>
      </c>
      <c r="L6" s="49">
        <v>1.8</v>
      </c>
      <c r="M6" s="52">
        <v>1.05</v>
      </c>
      <c r="N6" s="49">
        <v>-0.75</v>
      </c>
      <c r="O6" s="49">
        <v>-41.67</v>
      </c>
      <c r="P6" s="53">
        <v>6340</v>
      </c>
      <c r="Q6" s="49">
        <v>5.6</v>
      </c>
      <c r="R6" s="56"/>
    </row>
    <row r="7" spans="3:18" ht="42" thickBot="1">
      <c r="C7" s="49"/>
      <c r="D7" s="49" t="s">
        <v>0</v>
      </c>
      <c r="E7" s="50">
        <v>46125</v>
      </c>
      <c r="F7" s="49" t="s">
        <v>20</v>
      </c>
      <c r="G7" s="51">
        <v>20300</v>
      </c>
      <c r="H7" s="49">
        <v>1.95</v>
      </c>
      <c r="I7" s="49">
        <v>3.8</v>
      </c>
      <c r="J7" s="49">
        <v>0.85</v>
      </c>
      <c r="K7" s="49">
        <v>1.05</v>
      </c>
      <c r="L7" s="49">
        <v>1.85</v>
      </c>
      <c r="M7" s="52">
        <v>1</v>
      </c>
      <c r="N7" s="49">
        <v>-0.85</v>
      </c>
      <c r="O7" s="49">
        <v>-45.95</v>
      </c>
      <c r="P7" s="53">
        <v>23596</v>
      </c>
      <c r="Q7" s="49">
        <v>21.47</v>
      </c>
      <c r="R7" s="56"/>
    </row>
    <row r="8" spans="3:18" ht="42" thickBot="1">
      <c r="C8" s="49"/>
      <c r="D8" s="49" t="s">
        <v>0</v>
      </c>
      <c r="E8" s="50">
        <v>46125</v>
      </c>
      <c r="F8" s="49" t="s">
        <v>20</v>
      </c>
      <c r="G8" s="51">
        <v>20350</v>
      </c>
      <c r="H8" s="49">
        <v>2.15</v>
      </c>
      <c r="I8" s="49">
        <v>2.5499999999999998</v>
      </c>
      <c r="J8" s="49">
        <v>0.85</v>
      </c>
      <c r="K8" s="49">
        <v>1.05</v>
      </c>
      <c r="L8" s="49">
        <v>1.95</v>
      </c>
      <c r="M8" s="52">
        <v>0.9</v>
      </c>
      <c r="N8" s="49">
        <v>-1.05</v>
      </c>
      <c r="O8" s="49">
        <v>-53.85</v>
      </c>
      <c r="P8" s="53">
        <v>6802</v>
      </c>
      <c r="Q8" s="49">
        <v>6.23</v>
      </c>
      <c r="R8" s="56"/>
    </row>
    <row r="9" spans="3:18" ht="42" thickBot="1">
      <c r="C9" s="49"/>
      <c r="D9" s="49" t="s">
        <v>0</v>
      </c>
      <c r="E9" s="50">
        <v>46125</v>
      </c>
      <c r="F9" s="49" t="s">
        <v>20</v>
      </c>
      <c r="G9" s="51">
        <v>20400</v>
      </c>
      <c r="H9" s="49">
        <v>2.4</v>
      </c>
      <c r="I9" s="49">
        <v>2.75</v>
      </c>
      <c r="J9" s="49">
        <v>0.9</v>
      </c>
      <c r="K9" s="49">
        <v>1.1000000000000001</v>
      </c>
      <c r="L9" s="49">
        <v>2</v>
      </c>
      <c r="M9" s="52">
        <v>1</v>
      </c>
      <c r="N9" s="49">
        <v>-1</v>
      </c>
      <c r="O9" s="49">
        <v>-50</v>
      </c>
      <c r="P9" s="53">
        <v>16615</v>
      </c>
      <c r="Q9" s="49">
        <v>16.420000000000002</v>
      </c>
      <c r="R9" s="56"/>
    </row>
    <row r="10" spans="3:18" ht="42" thickBot="1">
      <c r="C10" s="49"/>
      <c r="D10" s="49" t="s">
        <v>0</v>
      </c>
      <c r="E10" s="50">
        <v>46125</v>
      </c>
      <c r="F10" s="49" t="s">
        <v>20</v>
      </c>
      <c r="G10" s="51">
        <v>20450</v>
      </c>
      <c r="H10" s="49">
        <v>2.15</v>
      </c>
      <c r="I10" s="49">
        <v>2.8</v>
      </c>
      <c r="J10" s="49">
        <v>0.95</v>
      </c>
      <c r="K10" s="49">
        <v>1.1499999999999999</v>
      </c>
      <c r="L10" s="49">
        <v>2.1</v>
      </c>
      <c r="M10" s="52">
        <v>1.05</v>
      </c>
      <c r="N10" s="49">
        <v>-1.05</v>
      </c>
      <c r="O10" s="49">
        <v>-50</v>
      </c>
      <c r="P10" s="53">
        <v>5475</v>
      </c>
      <c r="Q10" s="49">
        <v>5.23</v>
      </c>
      <c r="R10" s="56"/>
    </row>
    <row r="11" spans="3:18" ht="42" thickBot="1">
      <c r="C11" s="49"/>
      <c r="D11" s="49" t="s">
        <v>0</v>
      </c>
      <c r="E11" s="50">
        <v>46125</v>
      </c>
      <c r="F11" s="49" t="s">
        <v>20</v>
      </c>
      <c r="G11" s="51">
        <v>20500</v>
      </c>
      <c r="H11" s="49">
        <v>1.75</v>
      </c>
      <c r="I11" s="49">
        <v>2.6</v>
      </c>
      <c r="J11" s="49">
        <v>0.95</v>
      </c>
      <c r="K11" s="49">
        <v>1.1499999999999999</v>
      </c>
      <c r="L11" s="49">
        <v>2.2000000000000002</v>
      </c>
      <c r="M11" s="52">
        <v>1.05</v>
      </c>
      <c r="N11" s="49">
        <v>-1.1499999999999999</v>
      </c>
      <c r="O11" s="49">
        <v>-52.27</v>
      </c>
      <c r="P11" s="53">
        <v>79302</v>
      </c>
      <c r="Q11" s="49">
        <v>81.44</v>
      </c>
      <c r="R11" s="56"/>
    </row>
    <row r="12" spans="3:18" ht="42" thickBot="1">
      <c r="C12" s="49"/>
      <c r="D12" s="49" t="s">
        <v>0</v>
      </c>
      <c r="E12" s="50">
        <v>46125</v>
      </c>
      <c r="F12" s="49" t="s">
        <v>20</v>
      </c>
      <c r="G12" s="51">
        <v>20550</v>
      </c>
      <c r="H12" s="49">
        <v>2.15</v>
      </c>
      <c r="I12" s="49">
        <v>2.6</v>
      </c>
      <c r="J12" s="49">
        <v>1</v>
      </c>
      <c r="K12" s="49">
        <v>1.2</v>
      </c>
      <c r="L12" s="49">
        <v>2.2999999999999998</v>
      </c>
      <c r="M12" s="52">
        <v>1.1000000000000001</v>
      </c>
      <c r="N12" s="49">
        <v>-1.2</v>
      </c>
      <c r="O12" s="49">
        <v>-52.17</v>
      </c>
      <c r="P12" s="53">
        <v>2504</v>
      </c>
      <c r="Q12" s="49">
        <v>2.72</v>
      </c>
      <c r="R12" s="56"/>
    </row>
    <row r="13" spans="3:18" ht="42" thickBot="1">
      <c r="C13" s="49"/>
      <c r="D13" s="49" t="s">
        <v>0</v>
      </c>
      <c r="E13" s="50">
        <v>46125</v>
      </c>
      <c r="F13" s="49" t="s">
        <v>20</v>
      </c>
      <c r="G13" s="51">
        <v>20600</v>
      </c>
      <c r="H13" s="49">
        <v>2.6</v>
      </c>
      <c r="I13" s="49">
        <v>2.8</v>
      </c>
      <c r="J13" s="49">
        <v>1.05</v>
      </c>
      <c r="K13" s="49">
        <v>1.25</v>
      </c>
      <c r="L13" s="49">
        <v>2.35</v>
      </c>
      <c r="M13" s="52">
        <v>1.1499999999999999</v>
      </c>
      <c r="N13" s="49">
        <v>-1.2</v>
      </c>
      <c r="O13" s="49">
        <v>-51.06</v>
      </c>
      <c r="P13" s="53">
        <v>19435</v>
      </c>
      <c r="Q13" s="49">
        <v>20.59</v>
      </c>
      <c r="R13" s="56"/>
    </row>
    <row r="14" spans="3:18" ht="42" thickBot="1">
      <c r="C14" s="49"/>
      <c r="D14" s="49" t="s">
        <v>0</v>
      </c>
      <c r="E14" s="50">
        <v>46125</v>
      </c>
      <c r="F14" s="49" t="s">
        <v>20</v>
      </c>
      <c r="G14" s="51">
        <v>20650</v>
      </c>
      <c r="H14" s="49">
        <v>2.6</v>
      </c>
      <c r="I14" s="49">
        <v>2.9</v>
      </c>
      <c r="J14" s="49">
        <v>1.05</v>
      </c>
      <c r="K14" s="49">
        <v>1.25</v>
      </c>
      <c r="L14" s="49">
        <v>2.5</v>
      </c>
      <c r="M14" s="52">
        <v>1.2</v>
      </c>
      <c r="N14" s="49">
        <v>-1.3</v>
      </c>
      <c r="O14" s="49">
        <v>-52</v>
      </c>
      <c r="P14" s="53">
        <v>10905</v>
      </c>
      <c r="Q14" s="49">
        <v>11.7</v>
      </c>
      <c r="R14" s="56"/>
    </row>
    <row r="15" spans="3:18" ht="42" thickBot="1">
      <c r="C15" s="49"/>
      <c r="D15" s="49" t="s">
        <v>0</v>
      </c>
      <c r="E15" s="50">
        <v>46125</v>
      </c>
      <c r="F15" s="49" t="s">
        <v>20</v>
      </c>
      <c r="G15" s="51">
        <v>20700</v>
      </c>
      <c r="H15" s="49">
        <v>2.9</v>
      </c>
      <c r="I15" s="49">
        <v>3.1</v>
      </c>
      <c r="J15" s="49">
        <v>1.1000000000000001</v>
      </c>
      <c r="K15" s="49">
        <v>1.25</v>
      </c>
      <c r="L15" s="49">
        <v>2.5499999999999998</v>
      </c>
      <c r="M15" s="52">
        <v>1.1000000000000001</v>
      </c>
      <c r="N15" s="49">
        <v>-1.45</v>
      </c>
      <c r="O15" s="49">
        <v>-56.86</v>
      </c>
      <c r="P15" s="53">
        <v>37374</v>
      </c>
      <c r="Q15" s="49">
        <v>38.630000000000003</v>
      </c>
      <c r="R15" s="56"/>
    </row>
    <row r="16" spans="3:18" ht="42" thickBot="1">
      <c r="C16" s="49"/>
      <c r="D16" s="49" t="s">
        <v>0</v>
      </c>
      <c r="E16" s="50">
        <v>46125</v>
      </c>
      <c r="F16" s="49" t="s">
        <v>20</v>
      </c>
      <c r="G16" s="51">
        <v>20750</v>
      </c>
      <c r="H16" s="49">
        <v>2.6</v>
      </c>
      <c r="I16" s="49">
        <v>3</v>
      </c>
      <c r="J16" s="49">
        <v>1.1499999999999999</v>
      </c>
      <c r="K16" s="49">
        <v>1.35</v>
      </c>
      <c r="L16" s="49">
        <v>2.65</v>
      </c>
      <c r="M16" s="52">
        <v>1.1499999999999999</v>
      </c>
      <c r="N16" s="49">
        <v>-1.5</v>
      </c>
      <c r="O16" s="49">
        <v>-56.6</v>
      </c>
      <c r="P16" s="53">
        <v>9504</v>
      </c>
      <c r="Q16" s="49">
        <v>10.87</v>
      </c>
      <c r="R16" s="56"/>
    </row>
    <row r="17" spans="3:18" ht="42" thickBot="1">
      <c r="C17" s="49"/>
      <c r="D17" s="49" t="s">
        <v>0</v>
      </c>
      <c r="E17" s="50">
        <v>46125</v>
      </c>
      <c r="F17" s="49" t="s">
        <v>20</v>
      </c>
      <c r="G17" s="51">
        <v>20800</v>
      </c>
      <c r="H17" s="49">
        <v>1.75</v>
      </c>
      <c r="I17" s="49">
        <v>3.05</v>
      </c>
      <c r="J17" s="49">
        <v>1.05</v>
      </c>
      <c r="K17" s="49">
        <v>1.3</v>
      </c>
      <c r="L17" s="49">
        <v>2.6</v>
      </c>
      <c r="M17" s="52">
        <v>1.25</v>
      </c>
      <c r="N17" s="49">
        <v>-1.35</v>
      </c>
      <c r="O17" s="49">
        <v>-51.92</v>
      </c>
      <c r="P17" s="53">
        <v>37550</v>
      </c>
      <c r="Q17" s="49">
        <v>39.049999999999997</v>
      </c>
      <c r="R17" s="56"/>
    </row>
    <row r="18" spans="3:18" ht="42" thickBot="1">
      <c r="C18" s="49"/>
      <c r="D18" s="49" t="s">
        <v>0</v>
      </c>
      <c r="E18" s="50">
        <v>46125</v>
      </c>
      <c r="F18" s="49" t="s">
        <v>20</v>
      </c>
      <c r="G18" s="51">
        <v>20850</v>
      </c>
      <c r="H18" s="49">
        <v>1.95</v>
      </c>
      <c r="I18" s="49">
        <v>3</v>
      </c>
      <c r="J18" s="49">
        <v>1.2</v>
      </c>
      <c r="K18" s="49">
        <v>1.4</v>
      </c>
      <c r="L18" s="49">
        <v>2.7</v>
      </c>
      <c r="M18" s="52">
        <v>1.35</v>
      </c>
      <c r="N18" s="49">
        <v>-1.35</v>
      </c>
      <c r="O18" s="49">
        <v>-50</v>
      </c>
      <c r="P18" s="53">
        <v>15380</v>
      </c>
      <c r="Q18" s="49">
        <v>18.29</v>
      </c>
      <c r="R18" s="56"/>
    </row>
    <row r="19" spans="3:18" ht="42" thickBot="1">
      <c r="C19" s="49"/>
      <c r="D19" s="49" t="s">
        <v>0</v>
      </c>
      <c r="E19" s="50">
        <v>46125</v>
      </c>
      <c r="F19" s="49" t="s">
        <v>1</v>
      </c>
      <c r="G19" s="51">
        <v>20850</v>
      </c>
      <c r="H19" s="51">
        <v>2908.25</v>
      </c>
      <c r="I19" s="51">
        <v>2908.25</v>
      </c>
      <c r="J19" s="51">
        <v>2908.25</v>
      </c>
      <c r="K19" s="51">
        <v>2908.25</v>
      </c>
      <c r="L19" s="51">
        <v>3118.4</v>
      </c>
      <c r="M19" s="54">
        <v>2908.25</v>
      </c>
      <c r="N19" s="49">
        <v>-210.15</v>
      </c>
      <c r="O19" s="49">
        <v>-6.74</v>
      </c>
      <c r="P19" s="49">
        <v>1</v>
      </c>
      <c r="Q19" s="49">
        <v>1.89</v>
      </c>
      <c r="R19" s="56"/>
    </row>
    <row r="20" spans="3:18" ht="42" thickBot="1">
      <c r="C20" s="49"/>
      <c r="D20" s="49" t="s">
        <v>0</v>
      </c>
      <c r="E20" s="50">
        <v>46125</v>
      </c>
      <c r="F20" s="49" t="s">
        <v>20</v>
      </c>
      <c r="G20" s="51">
        <v>20900</v>
      </c>
      <c r="H20" s="49">
        <v>2.7</v>
      </c>
      <c r="I20" s="49">
        <v>3.35</v>
      </c>
      <c r="J20" s="49">
        <v>1.2</v>
      </c>
      <c r="K20" s="49">
        <v>1.45</v>
      </c>
      <c r="L20" s="49">
        <v>2.8</v>
      </c>
      <c r="M20" s="52">
        <v>1.25</v>
      </c>
      <c r="N20" s="49">
        <v>-1.55</v>
      </c>
      <c r="O20" s="49">
        <v>-55.36</v>
      </c>
      <c r="P20" s="53">
        <v>21777</v>
      </c>
      <c r="Q20" s="49">
        <v>25.9</v>
      </c>
      <c r="R20" s="56"/>
    </row>
    <row r="21" spans="3:18" ht="42" thickBot="1">
      <c r="C21" s="49"/>
      <c r="D21" s="49" t="s">
        <v>0</v>
      </c>
      <c r="E21" s="50">
        <v>46125</v>
      </c>
      <c r="F21" s="49" t="s">
        <v>20</v>
      </c>
      <c r="G21" s="51">
        <v>20950</v>
      </c>
      <c r="H21" s="49">
        <v>3.15</v>
      </c>
      <c r="I21" s="49">
        <v>3.25</v>
      </c>
      <c r="J21" s="49">
        <v>1.25</v>
      </c>
      <c r="K21" s="49">
        <v>1.55</v>
      </c>
      <c r="L21" s="49">
        <v>2.9</v>
      </c>
      <c r="M21" s="52">
        <v>1.4</v>
      </c>
      <c r="N21" s="49">
        <v>-1.5</v>
      </c>
      <c r="O21" s="49">
        <v>-51.72</v>
      </c>
      <c r="P21" s="53">
        <v>11206</v>
      </c>
      <c r="Q21" s="49">
        <v>13.77</v>
      </c>
      <c r="R21" s="56"/>
    </row>
    <row r="22" spans="3:18" ht="42" thickBot="1">
      <c r="C22" s="49"/>
      <c r="D22" s="49" t="s">
        <v>0</v>
      </c>
      <c r="E22" s="50">
        <v>46125</v>
      </c>
      <c r="F22" s="49" t="s">
        <v>20</v>
      </c>
      <c r="G22" s="51">
        <v>21000</v>
      </c>
      <c r="H22" s="49">
        <v>3.3</v>
      </c>
      <c r="I22" s="49">
        <v>3.3</v>
      </c>
      <c r="J22" s="49">
        <v>1.25</v>
      </c>
      <c r="K22" s="49">
        <v>1.55</v>
      </c>
      <c r="L22" s="49">
        <v>3</v>
      </c>
      <c r="M22" s="52">
        <v>1.45</v>
      </c>
      <c r="N22" s="49">
        <v>-1.55</v>
      </c>
      <c r="O22" s="49">
        <v>-51.67</v>
      </c>
      <c r="P22" s="53">
        <v>153646</v>
      </c>
      <c r="Q22" s="49">
        <v>185.76</v>
      </c>
      <c r="R22" s="56"/>
    </row>
    <row r="23" spans="3:18" ht="42" thickBot="1">
      <c r="C23" s="49"/>
      <c r="D23" s="49" t="s">
        <v>0</v>
      </c>
      <c r="E23" s="50">
        <v>46125</v>
      </c>
      <c r="F23" s="49" t="s">
        <v>1</v>
      </c>
      <c r="G23" s="51">
        <v>21000</v>
      </c>
      <c r="H23" s="51">
        <v>2790</v>
      </c>
      <c r="I23" s="51">
        <v>2899.6</v>
      </c>
      <c r="J23" s="51">
        <v>2734.15</v>
      </c>
      <c r="K23" s="51">
        <v>2827.2</v>
      </c>
      <c r="L23" s="51">
        <v>3003.55</v>
      </c>
      <c r="M23" s="54">
        <v>2857.55</v>
      </c>
      <c r="N23" s="49">
        <v>-146</v>
      </c>
      <c r="O23" s="49">
        <v>-4.8600000000000003</v>
      </c>
      <c r="P23" s="49">
        <v>116</v>
      </c>
      <c r="Q23" s="49">
        <v>212.5</v>
      </c>
      <c r="R23" s="56"/>
    </row>
    <row r="24" spans="3:18" ht="42" thickBot="1">
      <c r="C24" s="49"/>
      <c r="D24" s="49" t="s">
        <v>0</v>
      </c>
      <c r="E24" s="50">
        <v>46125</v>
      </c>
      <c r="F24" s="49" t="s">
        <v>20</v>
      </c>
      <c r="G24" s="51">
        <v>21050</v>
      </c>
      <c r="H24" s="49">
        <v>3.35</v>
      </c>
      <c r="I24" s="49">
        <v>3.6</v>
      </c>
      <c r="J24" s="49">
        <v>1.3</v>
      </c>
      <c r="K24" s="49">
        <v>1.55</v>
      </c>
      <c r="L24" s="49">
        <v>3.15</v>
      </c>
      <c r="M24" s="52">
        <v>1.35</v>
      </c>
      <c r="N24" s="49">
        <v>-1.8</v>
      </c>
      <c r="O24" s="49">
        <v>-57.14</v>
      </c>
      <c r="P24" s="53">
        <v>12551</v>
      </c>
      <c r="Q24" s="49">
        <v>15.83</v>
      </c>
      <c r="R24" s="56"/>
    </row>
    <row r="25" spans="3:18" ht="42" thickBot="1">
      <c r="C25" s="49"/>
      <c r="D25" s="49" t="s">
        <v>0</v>
      </c>
      <c r="E25" s="50">
        <v>46125</v>
      </c>
      <c r="F25" s="49" t="s">
        <v>20</v>
      </c>
      <c r="G25" s="51">
        <v>21100</v>
      </c>
      <c r="H25" s="49">
        <v>3.55</v>
      </c>
      <c r="I25" s="49">
        <v>4.3499999999999996</v>
      </c>
      <c r="J25" s="49">
        <v>1.35</v>
      </c>
      <c r="K25" s="49">
        <v>1.65</v>
      </c>
      <c r="L25" s="49">
        <v>3.2</v>
      </c>
      <c r="M25" s="52">
        <v>1.45</v>
      </c>
      <c r="N25" s="49">
        <v>-1.75</v>
      </c>
      <c r="O25" s="49">
        <v>-54.69</v>
      </c>
      <c r="P25" s="53">
        <v>29328</v>
      </c>
      <c r="Q25" s="49">
        <v>39.270000000000003</v>
      </c>
      <c r="R25" s="56"/>
    </row>
    <row r="26" spans="3:18" ht="42" thickBot="1">
      <c r="C26" s="49"/>
      <c r="D26" s="49" t="s">
        <v>0</v>
      </c>
      <c r="E26" s="50">
        <v>46125</v>
      </c>
      <c r="F26" s="49" t="s">
        <v>20</v>
      </c>
      <c r="G26" s="51">
        <v>21150</v>
      </c>
      <c r="H26" s="49">
        <v>2.4500000000000002</v>
      </c>
      <c r="I26" s="49">
        <v>3.65</v>
      </c>
      <c r="J26" s="49">
        <v>1.35</v>
      </c>
      <c r="K26" s="49">
        <v>1.55</v>
      </c>
      <c r="L26" s="49">
        <v>3.3</v>
      </c>
      <c r="M26" s="52">
        <v>1.4</v>
      </c>
      <c r="N26" s="49">
        <v>-1.9</v>
      </c>
      <c r="O26" s="49">
        <v>-57.58</v>
      </c>
      <c r="P26" s="53">
        <v>3392</v>
      </c>
      <c r="Q26" s="49">
        <v>4.67</v>
      </c>
      <c r="R26" s="56"/>
    </row>
    <row r="27" spans="3:18" ht="42" thickBot="1">
      <c r="C27" s="49"/>
      <c r="D27" s="49" t="s">
        <v>0</v>
      </c>
      <c r="E27" s="50">
        <v>46125</v>
      </c>
      <c r="F27" s="49" t="s">
        <v>20</v>
      </c>
      <c r="G27" s="51">
        <v>21200</v>
      </c>
      <c r="H27" s="49">
        <v>3.6</v>
      </c>
      <c r="I27" s="49">
        <v>4.3499999999999996</v>
      </c>
      <c r="J27" s="49">
        <v>1.4</v>
      </c>
      <c r="K27" s="49">
        <v>1.75</v>
      </c>
      <c r="L27" s="49">
        <v>3.3</v>
      </c>
      <c r="M27" s="52">
        <v>1.5</v>
      </c>
      <c r="N27" s="49">
        <v>-1.8</v>
      </c>
      <c r="O27" s="49">
        <v>-54.55</v>
      </c>
      <c r="P27" s="53">
        <v>66461</v>
      </c>
      <c r="Q27" s="49">
        <v>85.1</v>
      </c>
      <c r="R27" s="56"/>
    </row>
    <row r="28" spans="3:18" ht="42" thickBot="1">
      <c r="C28" s="49"/>
      <c r="D28" s="49" t="s">
        <v>0</v>
      </c>
      <c r="E28" s="50">
        <v>46125</v>
      </c>
      <c r="F28" s="49" t="s">
        <v>20</v>
      </c>
      <c r="G28" s="51">
        <v>21250</v>
      </c>
      <c r="H28" s="49">
        <v>3.25</v>
      </c>
      <c r="I28" s="49">
        <v>7.85</v>
      </c>
      <c r="J28" s="49">
        <v>1.35</v>
      </c>
      <c r="K28" s="49">
        <v>1.7</v>
      </c>
      <c r="L28" s="49">
        <v>3.45</v>
      </c>
      <c r="M28" s="52">
        <v>1.5</v>
      </c>
      <c r="N28" s="49">
        <v>-1.95</v>
      </c>
      <c r="O28" s="49">
        <v>-56.52</v>
      </c>
      <c r="P28" s="53">
        <v>18641</v>
      </c>
      <c r="Q28" s="49">
        <v>23.63</v>
      </c>
      <c r="R28" s="56"/>
    </row>
    <row r="29" spans="3:18" ht="42" thickBot="1">
      <c r="C29" s="49"/>
      <c r="D29" s="49" t="s">
        <v>0</v>
      </c>
      <c r="E29" s="50">
        <v>46125</v>
      </c>
      <c r="F29" s="49" t="s">
        <v>20</v>
      </c>
      <c r="G29" s="51">
        <v>21300</v>
      </c>
      <c r="H29" s="49">
        <v>3.05</v>
      </c>
      <c r="I29" s="49">
        <v>4.0999999999999996</v>
      </c>
      <c r="J29" s="49">
        <v>1.45</v>
      </c>
      <c r="K29" s="49">
        <v>1.7</v>
      </c>
      <c r="L29" s="49">
        <v>3.7</v>
      </c>
      <c r="M29" s="52">
        <v>1.55</v>
      </c>
      <c r="N29" s="49">
        <v>-2.15</v>
      </c>
      <c r="O29" s="49">
        <v>-58.11</v>
      </c>
      <c r="P29" s="53">
        <v>31765</v>
      </c>
      <c r="Q29" s="49">
        <v>42.53</v>
      </c>
      <c r="R29" s="56"/>
    </row>
    <row r="30" spans="3:18" ht="42" thickBot="1">
      <c r="C30" s="49"/>
      <c r="D30" s="49" t="s">
        <v>0</v>
      </c>
      <c r="E30" s="50">
        <v>46125</v>
      </c>
      <c r="F30" s="49" t="s">
        <v>20</v>
      </c>
      <c r="G30" s="51">
        <v>21350</v>
      </c>
      <c r="H30" s="49">
        <v>2.95</v>
      </c>
      <c r="I30" s="49">
        <v>4.05</v>
      </c>
      <c r="J30" s="49">
        <v>1.4</v>
      </c>
      <c r="K30" s="49">
        <v>1.65</v>
      </c>
      <c r="L30" s="49">
        <v>3.85</v>
      </c>
      <c r="M30" s="52">
        <v>2.1</v>
      </c>
      <c r="N30" s="49">
        <v>-1.75</v>
      </c>
      <c r="O30" s="49">
        <v>-45.45</v>
      </c>
      <c r="P30" s="53">
        <v>11880</v>
      </c>
      <c r="Q30" s="49">
        <v>16.14</v>
      </c>
      <c r="R30" s="56"/>
    </row>
    <row r="31" spans="3:18" ht="42" thickBot="1">
      <c r="C31" s="49"/>
      <c r="D31" s="49" t="s">
        <v>0</v>
      </c>
      <c r="E31" s="50">
        <v>46125</v>
      </c>
      <c r="F31" s="49" t="s">
        <v>20</v>
      </c>
      <c r="G31" s="51">
        <v>21400</v>
      </c>
      <c r="H31" s="49">
        <v>5.85</v>
      </c>
      <c r="I31" s="49">
        <v>5.9</v>
      </c>
      <c r="J31" s="49">
        <v>1.45</v>
      </c>
      <c r="K31" s="49">
        <v>1.8</v>
      </c>
      <c r="L31" s="49">
        <v>4</v>
      </c>
      <c r="M31" s="52">
        <v>1.45</v>
      </c>
      <c r="N31" s="49">
        <v>-2.5499999999999998</v>
      </c>
      <c r="O31" s="49">
        <v>-63.75</v>
      </c>
      <c r="P31" s="53">
        <v>44918</v>
      </c>
      <c r="Q31" s="49">
        <v>63.94</v>
      </c>
      <c r="R31" s="56"/>
    </row>
    <row r="32" spans="3:18" ht="42" thickBot="1">
      <c r="C32" s="49"/>
      <c r="D32" s="49" t="s">
        <v>0</v>
      </c>
      <c r="E32" s="50">
        <v>46125</v>
      </c>
      <c r="F32" s="49" t="s">
        <v>1</v>
      </c>
      <c r="G32" s="51">
        <v>21400</v>
      </c>
      <c r="H32" s="51">
        <v>2476.5</v>
      </c>
      <c r="I32" s="51">
        <v>2476.5</v>
      </c>
      <c r="J32" s="51">
        <v>2300</v>
      </c>
      <c r="K32" s="51">
        <v>2306</v>
      </c>
      <c r="L32" s="51">
        <v>1701.1</v>
      </c>
      <c r="M32" s="54">
        <v>2306</v>
      </c>
      <c r="N32" s="49">
        <v>604.9</v>
      </c>
      <c r="O32" s="49">
        <v>35.56</v>
      </c>
      <c r="P32" s="49">
        <v>3</v>
      </c>
      <c r="Q32" s="49">
        <v>4.5999999999999996</v>
      </c>
      <c r="R32" s="56"/>
    </row>
    <row r="33" spans="3:18" ht="42" thickBot="1">
      <c r="C33" s="49"/>
      <c r="D33" s="49" t="s">
        <v>0</v>
      </c>
      <c r="E33" s="50">
        <v>46125</v>
      </c>
      <c r="F33" s="49" t="s">
        <v>20</v>
      </c>
      <c r="G33" s="51">
        <v>21450</v>
      </c>
      <c r="H33" s="49">
        <v>3.8</v>
      </c>
      <c r="I33" s="49">
        <v>4.4000000000000004</v>
      </c>
      <c r="J33" s="49">
        <v>1.4</v>
      </c>
      <c r="K33" s="49">
        <v>1.75</v>
      </c>
      <c r="L33" s="49">
        <v>4.2</v>
      </c>
      <c r="M33" s="52">
        <v>1.55</v>
      </c>
      <c r="N33" s="49">
        <v>-2.65</v>
      </c>
      <c r="O33" s="49">
        <v>-63.1</v>
      </c>
      <c r="P33" s="53">
        <v>16623</v>
      </c>
      <c r="Q33" s="49">
        <v>22.37</v>
      </c>
      <c r="R33" s="56"/>
    </row>
    <row r="34" spans="3:18" ht="42" thickBot="1">
      <c r="C34" s="49"/>
      <c r="D34" s="49" t="s">
        <v>0</v>
      </c>
      <c r="E34" s="50">
        <v>46125</v>
      </c>
      <c r="F34" s="49" t="s">
        <v>20</v>
      </c>
      <c r="G34" s="51">
        <v>21500</v>
      </c>
      <c r="H34" s="49">
        <v>3</v>
      </c>
      <c r="I34" s="49">
        <v>4</v>
      </c>
      <c r="J34" s="49">
        <v>1.45</v>
      </c>
      <c r="K34" s="49">
        <v>1.85</v>
      </c>
      <c r="L34" s="49">
        <v>4.3</v>
      </c>
      <c r="M34" s="52">
        <v>1.7</v>
      </c>
      <c r="N34" s="49">
        <v>-2.6</v>
      </c>
      <c r="O34" s="49">
        <v>-60.47</v>
      </c>
      <c r="P34" s="53">
        <v>180215</v>
      </c>
      <c r="Q34" s="49">
        <v>260.05</v>
      </c>
      <c r="R34" s="56"/>
    </row>
    <row r="35" spans="3:18" ht="42" thickBot="1">
      <c r="C35" s="49"/>
      <c r="D35" s="49" t="s">
        <v>0</v>
      </c>
      <c r="E35" s="50">
        <v>46125</v>
      </c>
      <c r="F35" s="49" t="s">
        <v>1</v>
      </c>
      <c r="G35" s="51">
        <v>21500</v>
      </c>
      <c r="H35" s="51">
        <v>2400</v>
      </c>
      <c r="I35" s="51">
        <v>2419.9</v>
      </c>
      <c r="J35" s="51">
        <v>2219.0500000000002</v>
      </c>
      <c r="K35" s="51">
        <v>2311.6</v>
      </c>
      <c r="L35" s="51">
        <v>2505.6999999999998</v>
      </c>
      <c r="M35" s="54">
        <v>2313.15</v>
      </c>
      <c r="N35" s="49">
        <v>-192.55</v>
      </c>
      <c r="O35" s="49">
        <v>-7.68</v>
      </c>
      <c r="P35" s="49">
        <v>206</v>
      </c>
      <c r="Q35" s="49">
        <v>315.41000000000003</v>
      </c>
      <c r="R35" s="56"/>
    </row>
    <row r="36" spans="3:18" ht="42" thickBot="1">
      <c r="C36" s="49"/>
      <c r="D36" s="49" t="s">
        <v>0</v>
      </c>
      <c r="E36" s="50">
        <v>46125</v>
      </c>
      <c r="F36" s="49" t="s">
        <v>20</v>
      </c>
      <c r="G36" s="51">
        <v>21550</v>
      </c>
      <c r="H36" s="49">
        <v>4.0999999999999996</v>
      </c>
      <c r="I36" s="49">
        <v>4.7</v>
      </c>
      <c r="J36" s="49">
        <v>1.6</v>
      </c>
      <c r="K36" s="49">
        <v>1.95</v>
      </c>
      <c r="L36" s="49">
        <v>4.6500000000000004</v>
      </c>
      <c r="M36" s="52">
        <v>1.7</v>
      </c>
      <c r="N36" s="49">
        <v>-2.95</v>
      </c>
      <c r="O36" s="49">
        <v>-63.44</v>
      </c>
      <c r="P36" s="53">
        <v>18262</v>
      </c>
      <c r="Q36" s="49">
        <v>28.25</v>
      </c>
      <c r="R36" s="56"/>
    </row>
    <row r="37" spans="3:18" ht="42" thickBot="1">
      <c r="C37" s="49"/>
      <c r="D37" s="49" t="s">
        <v>0</v>
      </c>
      <c r="E37" s="50">
        <v>46125</v>
      </c>
      <c r="F37" s="49" t="s">
        <v>20</v>
      </c>
      <c r="G37" s="51">
        <v>21600</v>
      </c>
      <c r="H37" s="49">
        <v>4.4000000000000004</v>
      </c>
      <c r="I37" s="49">
        <v>4.4000000000000004</v>
      </c>
      <c r="J37" s="49">
        <v>1.6</v>
      </c>
      <c r="K37" s="49">
        <v>2</v>
      </c>
      <c r="L37" s="49">
        <v>4.9000000000000004</v>
      </c>
      <c r="M37" s="52">
        <v>1.65</v>
      </c>
      <c r="N37" s="49">
        <v>-3.25</v>
      </c>
      <c r="O37" s="49">
        <v>-66.33</v>
      </c>
      <c r="P37" s="53">
        <v>58956</v>
      </c>
      <c r="Q37" s="49">
        <v>98.49</v>
      </c>
      <c r="R37" s="56"/>
    </row>
    <row r="38" spans="3:18" ht="42" thickBot="1">
      <c r="C38" s="49"/>
      <c r="D38" s="49" t="s">
        <v>0</v>
      </c>
      <c r="E38" s="50">
        <v>46125</v>
      </c>
      <c r="F38" s="49" t="s">
        <v>1</v>
      </c>
      <c r="G38" s="51">
        <v>21600</v>
      </c>
      <c r="H38" s="51">
        <v>2250</v>
      </c>
      <c r="I38" s="51">
        <v>2250</v>
      </c>
      <c r="J38" s="51">
        <v>2250</v>
      </c>
      <c r="K38" s="51">
        <v>2250</v>
      </c>
      <c r="L38" s="51">
        <v>1540</v>
      </c>
      <c r="M38" s="54">
        <v>2250</v>
      </c>
      <c r="N38" s="49">
        <v>710</v>
      </c>
      <c r="O38" s="49">
        <v>46.1</v>
      </c>
      <c r="P38" s="49">
        <v>1</v>
      </c>
      <c r="Q38" s="49">
        <v>1.46</v>
      </c>
      <c r="R38" s="56"/>
    </row>
    <row r="39" spans="3:18" ht="42" thickBot="1">
      <c r="C39" s="49"/>
      <c r="D39" s="49" t="s">
        <v>0</v>
      </c>
      <c r="E39" s="50">
        <v>46125</v>
      </c>
      <c r="F39" s="49" t="s">
        <v>20</v>
      </c>
      <c r="G39" s="51">
        <v>21650</v>
      </c>
      <c r="H39" s="49">
        <v>5.0999999999999996</v>
      </c>
      <c r="I39" s="49">
        <v>6.65</v>
      </c>
      <c r="J39" s="49">
        <v>1.6</v>
      </c>
      <c r="K39" s="49">
        <v>2</v>
      </c>
      <c r="L39" s="49">
        <v>5.0999999999999996</v>
      </c>
      <c r="M39" s="52">
        <v>1.7</v>
      </c>
      <c r="N39" s="49">
        <v>-3.4</v>
      </c>
      <c r="O39" s="49">
        <v>-66.67</v>
      </c>
      <c r="P39" s="53">
        <v>18216</v>
      </c>
      <c r="Q39" s="49">
        <v>30.43</v>
      </c>
      <c r="R39" s="56"/>
    </row>
    <row r="40" spans="3:18" ht="42" thickBot="1">
      <c r="C40" s="49"/>
      <c r="D40" s="49" t="s">
        <v>0</v>
      </c>
      <c r="E40" s="50">
        <v>46125</v>
      </c>
      <c r="F40" s="49" t="s">
        <v>20</v>
      </c>
      <c r="G40" s="51">
        <v>21700</v>
      </c>
      <c r="H40" s="49">
        <v>3.7</v>
      </c>
      <c r="I40" s="49">
        <v>5.2</v>
      </c>
      <c r="J40" s="49">
        <v>1.6</v>
      </c>
      <c r="K40" s="49">
        <v>2</v>
      </c>
      <c r="L40" s="49">
        <v>5.2</v>
      </c>
      <c r="M40" s="52">
        <v>1.7</v>
      </c>
      <c r="N40" s="49">
        <v>-3.5</v>
      </c>
      <c r="O40" s="49">
        <v>-67.31</v>
      </c>
      <c r="P40" s="53">
        <v>116270</v>
      </c>
      <c r="Q40" s="49">
        <v>193.47</v>
      </c>
      <c r="R40" s="56"/>
    </row>
    <row r="41" spans="3:18" ht="42" thickBot="1">
      <c r="C41" s="49"/>
      <c r="D41" s="49" t="s">
        <v>0</v>
      </c>
      <c r="E41" s="50">
        <v>46125</v>
      </c>
      <c r="F41" s="49" t="s">
        <v>1</v>
      </c>
      <c r="G41" s="51">
        <v>21700</v>
      </c>
      <c r="H41" s="51">
        <v>2286.6</v>
      </c>
      <c r="I41" s="51">
        <v>2286.6</v>
      </c>
      <c r="J41" s="51">
        <v>2024.15</v>
      </c>
      <c r="K41" s="51">
        <v>2024.15</v>
      </c>
      <c r="L41" s="51">
        <v>2286.6</v>
      </c>
      <c r="M41" s="54">
        <v>2024.15</v>
      </c>
      <c r="N41" s="49">
        <v>-262.45</v>
      </c>
      <c r="O41" s="49">
        <v>-11.48</v>
      </c>
      <c r="P41" s="49">
        <v>10</v>
      </c>
      <c r="Q41" s="49">
        <v>14.01</v>
      </c>
      <c r="R41" s="56"/>
    </row>
    <row r="42" spans="3:18" ht="42" thickBot="1">
      <c r="C42" s="49"/>
      <c r="D42" s="49" t="s">
        <v>0</v>
      </c>
      <c r="E42" s="50">
        <v>46125</v>
      </c>
      <c r="F42" s="49" t="s">
        <v>20</v>
      </c>
      <c r="G42" s="51">
        <v>21750</v>
      </c>
      <c r="H42" s="49">
        <v>6.05</v>
      </c>
      <c r="I42" s="49">
        <v>6.05</v>
      </c>
      <c r="J42" s="49">
        <v>1.65</v>
      </c>
      <c r="K42" s="49">
        <v>2.1</v>
      </c>
      <c r="L42" s="49">
        <v>5.6</v>
      </c>
      <c r="M42" s="52">
        <v>1.7</v>
      </c>
      <c r="N42" s="49">
        <v>-3.9</v>
      </c>
      <c r="O42" s="49">
        <v>-69.64</v>
      </c>
      <c r="P42" s="53">
        <v>30913</v>
      </c>
      <c r="Q42" s="49">
        <v>56.46</v>
      </c>
      <c r="R42" s="56"/>
    </row>
    <row r="43" spans="3:18" ht="42" thickBot="1">
      <c r="C43" s="49"/>
      <c r="D43" s="49" t="s">
        <v>0</v>
      </c>
      <c r="E43" s="50">
        <v>46125</v>
      </c>
      <c r="F43" s="49" t="s">
        <v>1</v>
      </c>
      <c r="G43" s="51">
        <v>21750</v>
      </c>
      <c r="H43" s="51">
        <v>2378.1999999999998</v>
      </c>
      <c r="I43" s="51">
        <v>2378.1999999999998</v>
      </c>
      <c r="J43" s="51">
        <v>2219.85</v>
      </c>
      <c r="K43" s="51">
        <v>2219.85</v>
      </c>
      <c r="L43" s="51">
        <v>1239.5</v>
      </c>
      <c r="M43" s="54">
        <v>2219.85</v>
      </c>
      <c r="N43" s="49">
        <v>980.35</v>
      </c>
      <c r="O43" s="49">
        <v>79.09</v>
      </c>
      <c r="P43" s="49">
        <v>2</v>
      </c>
      <c r="Q43" s="49">
        <v>2.99</v>
      </c>
      <c r="R43" s="56"/>
    </row>
    <row r="44" spans="3:18" ht="42" thickBot="1">
      <c r="C44" s="49"/>
      <c r="D44" s="49" t="s">
        <v>0</v>
      </c>
      <c r="E44" s="50">
        <v>46125</v>
      </c>
      <c r="F44" s="49" t="s">
        <v>20</v>
      </c>
      <c r="G44" s="51">
        <v>21800</v>
      </c>
      <c r="H44" s="49">
        <v>5.9</v>
      </c>
      <c r="I44" s="49">
        <v>5.9</v>
      </c>
      <c r="J44" s="49">
        <v>1.65</v>
      </c>
      <c r="K44" s="49">
        <v>2.2999999999999998</v>
      </c>
      <c r="L44" s="49">
        <v>5.95</v>
      </c>
      <c r="M44" s="52">
        <v>1.8</v>
      </c>
      <c r="N44" s="49">
        <v>-4.1500000000000004</v>
      </c>
      <c r="O44" s="49">
        <v>-69.75</v>
      </c>
      <c r="P44" s="53">
        <v>124573</v>
      </c>
      <c r="Q44" s="49">
        <v>232.39</v>
      </c>
      <c r="R44" s="56"/>
    </row>
    <row r="45" spans="3:18" ht="42" thickBot="1">
      <c r="C45" s="49"/>
      <c r="D45" s="49" t="s">
        <v>0</v>
      </c>
      <c r="E45" s="50">
        <v>46125</v>
      </c>
      <c r="F45" s="49" t="s">
        <v>1</v>
      </c>
      <c r="G45" s="51">
        <v>21800</v>
      </c>
      <c r="H45" s="51">
        <v>1980</v>
      </c>
      <c r="I45" s="51">
        <v>1988</v>
      </c>
      <c r="J45" s="51">
        <v>1941</v>
      </c>
      <c r="K45" s="51">
        <v>1960.25</v>
      </c>
      <c r="L45" s="51">
        <v>2232.35</v>
      </c>
      <c r="M45" s="54">
        <v>1960.25</v>
      </c>
      <c r="N45" s="49">
        <v>-272.10000000000002</v>
      </c>
      <c r="O45" s="49">
        <v>-12.19</v>
      </c>
      <c r="P45" s="49">
        <v>7</v>
      </c>
      <c r="Q45" s="49">
        <v>8.9600000000000009</v>
      </c>
      <c r="R45" s="56"/>
    </row>
    <row r="46" spans="3:18" ht="42" thickBot="1">
      <c r="C46" s="49"/>
      <c r="D46" s="49" t="s">
        <v>0</v>
      </c>
      <c r="E46" s="50">
        <v>46125</v>
      </c>
      <c r="F46" s="49" t="s">
        <v>20</v>
      </c>
      <c r="G46" s="51">
        <v>21850</v>
      </c>
      <c r="H46" s="49">
        <v>4.55</v>
      </c>
      <c r="I46" s="49">
        <v>5.75</v>
      </c>
      <c r="J46" s="49">
        <v>1.7</v>
      </c>
      <c r="K46" s="49">
        <v>2.2999999999999998</v>
      </c>
      <c r="L46" s="49">
        <v>6.25</v>
      </c>
      <c r="M46" s="52">
        <v>1.85</v>
      </c>
      <c r="N46" s="49">
        <v>-4.4000000000000004</v>
      </c>
      <c r="O46" s="49">
        <v>-70.400000000000006</v>
      </c>
      <c r="P46" s="53">
        <v>30829</v>
      </c>
      <c r="Q46" s="49">
        <v>58.71</v>
      </c>
      <c r="R46" s="56"/>
    </row>
    <row r="47" spans="3:18" ht="42" thickBot="1">
      <c r="C47" s="49"/>
      <c r="D47" s="49" t="s">
        <v>0</v>
      </c>
      <c r="E47" s="50">
        <v>46125</v>
      </c>
      <c r="F47" s="49" t="s">
        <v>1</v>
      </c>
      <c r="G47" s="51">
        <v>21850</v>
      </c>
      <c r="H47" s="51">
        <v>1950.05</v>
      </c>
      <c r="I47" s="51">
        <v>1950.05</v>
      </c>
      <c r="J47" s="51">
        <v>1950</v>
      </c>
      <c r="K47" s="51">
        <v>1950</v>
      </c>
      <c r="L47" s="51">
        <v>2151.5</v>
      </c>
      <c r="M47" s="54">
        <v>1950</v>
      </c>
      <c r="N47" s="49">
        <v>-201.5</v>
      </c>
      <c r="O47" s="49">
        <v>-9.3699999999999992</v>
      </c>
      <c r="P47" s="49">
        <v>2</v>
      </c>
      <c r="Q47" s="49">
        <v>2.54</v>
      </c>
      <c r="R47" s="56"/>
    </row>
    <row r="48" spans="3:18" ht="42" thickBot="1">
      <c r="C48" s="49"/>
      <c r="D48" s="49" t="s">
        <v>0</v>
      </c>
      <c r="E48" s="50">
        <v>46125</v>
      </c>
      <c r="F48" s="49" t="s">
        <v>20</v>
      </c>
      <c r="G48" s="51">
        <v>21900</v>
      </c>
      <c r="H48" s="49">
        <v>4.6500000000000004</v>
      </c>
      <c r="I48" s="49">
        <v>6.8</v>
      </c>
      <c r="J48" s="49">
        <v>1.9</v>
      </c>
      <c r="K48" s="49">
        <v>2.7</v>
      </c>
      <c r="L48" s="49">
        <v>6.45</v>
      </c>
      <c r="M48" s="52">
        <v>2.1</v>
      </c>
      <c r="N48" s="49">
        <v>-4.3499999999999996</v>
      </c>
      <c r="O48" s="49">
        <v>-67.44</v>
      </c>
      <c r="P48" s="53">
        <v>111665</v>
      </c>
      <c r="Q48" s="49">
        <v>214.12</v>
      </c>
      <c r="R48" s="56"/>
    </row>
    <row r="49" spans="2:18" ht="42" thickBot="1">
      <c r="C49" s="49"/>
      <c r="D49" s="49" t="s">
        <v>0</v>
      </c>
      <c r="E49" s="50">
        <v>46125</v>
      </c>
      <c r="F49" s="49" t="s">
        <v>1</v>
      </c>
      <c r="G49" s="51">
        <v>21900</v>
      </c>
      <c r="H49" s="51">
        <v>1949</v>
      </c>
      <c r="I49" s="51">
        <v>1975.85</v>
      </c>
      <c r="J49" s="51">
        <v>1877</v>
      </c>
      <c r="K49" s="51">
        <v>1905</v>
      </c>
      <c r="L49" s="51">
        <v>2053.35</v>
      </c>
      <c r="M49" s="54">
        <v>1933</v>
      </c>
      <c r="N49" s="49">
        <v>-120.35</v>
      </c>
      <c r="O49" s="49">
        <v>-5.86</v>
      </c>
      <c r="P49" s="49">
        <v>11</v>
      </c>
      <c r="Q49" s="49">
        <v>13.77</v>
      </c>
      <c r="R49" s="56"/>
    </row>
    <row r="50" spans="2:18" ht="42" thickBot="1">
      <c r="C50" s="49"/>
      <c r="D50" s="49" t="s">
        <v>0</v>
      </c>
      <c r="E50" s="50">
        <v>46125</v>
      </c>
      <c r="F50" s="49" t="s">
        <v>20</v>
      </c>
      <c r="G50" s="51">
        <v>21950</v>
      </c>
      <c r="H50" s="49">
        <v>6.45</v>
      </c>
      <c r="I50" s="49">
        <v>6.45</v>
      </c>
      <c r="J50" s="49">
        <v>2.0499999999999998</v>
      </c>
      <c r="K50" s="49">
        <v>2.6</v>
      </c>
      <c r="L50" s="49">
        <v>6.85</v>
      </c>
      <c r="M50" s="52">
        <v>2.15</v>
      </c>
      <c r="N50" s="49">
        <v>-4.7</v>
      </c>
      <c r="O50" s="49">
        <v>-68.61</v>
      </c>
      <c r="P50" s="53">
        <v>32788</v>
      </c>
      <c r="Q50" s="49">
        <v>69.48</v>
      </c>
      <c r="R50" s="56"/>
    </row>
    <row r="51" spans="2:18" ht="42" thickBot="1">
      <c r="C51" s="49"/>
      <c r="D51" s="49" t="s">
        <v>0</v>
      </c>
      <c r="E51" s="50">
        <v>46125</v>
      </c>
      <c r="F51" s="49" t="s">
        <v>1</v>
      </c>
      <c r="G51" s="51">
        <v>21950</v>
      </c>
      <c r="H51" s="51">
        <v>1874</v>
      </c>
      <c r="I51" s="51">
        <v>1874</v>
      </c>
      <c r="J51" s="51">
        <v>1827.95</v>
      </c>
      <c r="K51" s="51">
        <v>1827.95</v>
      </c>
      <c r="L51" s="51">
        <v>2022</v>
      </c>
      <c r="M51" s="54">
        <v>1827.95</v>
      </c>
      <c r="N51" s="49">
        <v>-194.05</v>
      </c>
      <c r="O51" s="49">
        <v>-9.6</v>
      </c>
      <c r="P51" s="49">
        <v>2</v>
      </c>
      <c r="Q51" s="49">
        <v>2.41</v>
      </c>
      <c r="R51" s="56"/>
    </row>
    <row r="52" spans="2:18" ht="42" thickBot="1">
      <c r="C52" s="49"/>
      <c r="D52" s="49" t="s">
        <v>0</v>
      </c>
      <c r="E52" s="50">
        <v>46125</v>
      </c>
      <c r="F52" s="49" t="s">
        <v>20</v>
      </c>
      <c r="G52" s="51">
        <v>22000</v>
      </c>
      <c r="H52" s="49">
        <v>5.5</v>
      </c>
      <c r="I52" s="49">
        <v>6.5</v>
      </c>
      <c r="J52" s="49">
        <v>2.1</v>
      </c>
      <c r="K52" s="49">
        <v>2.7</v>
      </c>
      <c r="L52" s="49">
        <v>7.25</v>
      </c>
      <c r="M52" s="52">
        <v>2.25</v>
      </c>
      <c r="N52" s="49">
        <v>-5</v>
      </c>
      <c r="O52" s="49">
        <v>-68.97</v>
      </c>
      <c r="P52" s="53">
        <v>390610</v>
      </c>
      <c r="Q52" s="49">
        <v>914.03</v>
      </c>
      <c r="R52" s="56"/>
    </row>
    <row r="53" spans="2:18" ht="42" thickBot="1">
      <c r="C53" s="49"/>
      <c r="D53" s="49" t="s">
        <v>0</v>
      </c>
      <c r="E53" s="50">
        <v>46125</v>
      </c>
      <c r="F53" s="49" t="s">
        <v>1</v>
      </c>
      <c r="G53" s="51">
        <v>22000</v>
      </c>
      <c r="H53" s="51">
        <v>1900</v>
      </c>
      <c r="I53" s="51">
        <v>1988.4</v>
      </c>
      <c r="J53" s="51">
        <v>1693.75</v>
      </c>
      <c r="K53" s="51">
        <v>1806.55</v>
      </c>
      <c r="L53" s="51">
        <v>2008.3</v>
      </c>
      <c r="M53" s="54">
        <v>1806.3</v>
      </c>
      <c r="N53" s="49">
        <v>-202</v>
      </c>
      <c r="O53" s="49">
        <v>-10.06</v>
      </c>
      <c r="P53" s="49">
        <v>696</v>
      </c>
      <c r="Q53" s="49">
        <v>830.31</v>
      </c>
      <c r="R53" s="56"/>
    </row>
    <row r="54" spans="2:18" ht="42" thickBot="1">
      <c r="C54" s="49"/>
      <c r="D54" s="49" t="s">
        <v>0</v>
      </c>
      <c r="E54" s="50">
        <v>46125</v>
      </c>
      <c r="F54" s="49" t="s">
        <v>20</v>
      </c>
      <c r="G54" s="51">
        <v>22050</v>
      </c>
      <c r="H54" s="49">
        <v>7.15</v>
      </c>
      <c r="I54" s="49">
        <v>7.2</v>
      </c>
      <c r="J54" s="49">
        <v>2.2999999999999998</v>
      </c>
      <c r="K54" s="49">
        <v>2.85</v>
      </c>
      <c r="L54" s="49">
        <v>7.65</v>
      </c>
      <c r="M54" s="52">
        <v>2.4</v>
      </c>
      <c r="N54" s="49">
        <v>-5.25</v>
      </c>
      <c r="O54" s="49">
        <v>-68.63</v>
      </c>
      <c r="P54" s="53">
        <v>35103</v>
      </c>
      <c r="Q54" s="49">
        <v>86.93</v>
      </c>
      <c r="R54" s="56"/>
    </row>
    <row r="55" spans="2:18" ht="42" thickBot="1">
      <c r="C55" s="49"/>
      <c r="D55" s="49" t="s">
        <v>0</v>
      </c>
      <c r="E55" s="50">
        <v>46125</v>
      </c>
      <c r="F55" s="49" t="s">
        <v>1</v>
      </c>
      <c r="G55" s="51">
        <v>22050</v>
      </c>
      <c r="H55" s="51">
        <v>1849</v>
      </c>
      <c r="I55" s="51">
        <v>1849</v>
      </c>
      <c r="J55" s="51">
        <v>1715.2</v>
      </c>
      <c r="K55" s="51">
        <v>1753.4</v>
      </c>
      <c r="L55" s="51">
        <v>1850</v>
      </c>
      <c r="M55" s="54">
        <v>1753.4</v>
      </c>
      <c r="N55" s="49">
        <v>-96.6</v>
      </c>
      <c r="O55" s="49">
        <v>-5.22</v>
      </c>
      <c r="P55" s="49">
        <v>25</v>
      </c>
      <c r="Q55" s="49">
        <v>28.73</v>
      </c>
      <c r="R55" s="56"/>
    </row>
    <row r="56" spans="2:18" ht="42" thickBot="1">
      <c r="C56" s="49"/>
      <c r="D56" s="49" t="s">
        <v>0</v>
      </c>
      <c r="E56" s="50">
        <v>46125</v>
      </c>
      <c r="F56" s="49" t="s">
        <v>20</v>
      </c>
      <c r="G56" s="51">
        <v>22100</v>
      </c>
      <c r="H56" s="49">
        <v>3.45</v>
      </c>
      <c r="I56" s="49">
        <v>11.1</v>
      </c>
      <c r="J56" s="49">
        <v>2.4</v>
      </c>
      <c r="K56" s="49">
        <v>3</v>
      </c>
      <c r="L56" s="49">
        <v>8</v>
      </c>
      <c r="M56" s="52">
        <v>2.4</v>
      </c>
      <c r="N56" s="49">
        <v>-5.6</v>
      </c>
      <c r="O56" s="49">
        <v>-70</v>
      </c>
      <c r="P56" s="53">
        <v>97757</v>
      </c>
      <c r="Q56" s="49">
        <v>252.9</v>
      </c>
      <c r="R56" s="56"/>
    </row>
    <row r="57" spans="2:18" ht="42" thickBot="1">
      <c r="B57" s="34"/>
      <c r="C57" s="49"/>
      <c r="D57" s="49" t="s">
        <v>0</v>
      </c>
      <c r="E57" s="50">
        <v>46125</v>
      </c>
      <c r="F57" s="49" t="s">
        <v>1</v>
      </c>
      <c r="G57" s="51">
        <v>22100</v>
      </c>
      <c r="H57" s="51">
        <v>1807.85</v>
      </c>
      <c r="I57" s="51">
        <v>1825.05</v>
      </c>
      <c r="J57" s="51">
        <v>1676.7</v>
      </c>
      <c r="K57" s="51">
        <v>1716.6</v>
      </c>
      <c r="L57" s="51">
        <v>1928.15</v>
      </c>
      <c r="M57" s="54">
        <v>1714</v>
      </c>
      <c r="N57" s="49">
        <v>-214.15</v>
      </c>
      <c r="O57" s="49">
        <v>-11.11</v>
      </c>
      <c r="P57" s="49">
        <v>191</v>
      </c>
      <c r="Q57" s="49">
        <v>213.85</v>
      </c>
      <c r="R57" s="56"/>
    </row>
    <row r="58" spans="2:18" ht="42" thickBot="1">
      <c r="C58" s="49"/>
      <c r="D58" s="49" t="s">
        <v>0</v>
      </c>
      <c r="E58" s="50">
        <v>46125</v>
      </c>
      <c r="F58" s="49" t="s">
        <v>20</v>
      </c>
      <c r="G58" s="51">
        <v>22150</v>
      </c>
      <c r="H58" s="49">
        <v>7.85</v>
      </c>
      <c r="I58" s="49">
        <v>8.1999999999999993</v>
      </c>
      <c r="J58" s="49">
        <v>2.5</v>
      </c>
      <c r="K58" s="49">
        <v>3.2</v>
      </c>
      <c r="L58" s="49">
        <v>8.5</v>
      </c>
      <c r="M58" s="52">
        <v>2.6</v>
      </c>
      <c r="N58" s="49">
        <v>-5.9</v>
      </c>
      <c r="O58" s="49">
        <v>-69.41</v>
      </c>
      <c r="P58" s="53">
        <v>35023</v>
      </c>
      <c r="Q58" s="49">
        <v>99.26</v>
      </c>
      <c r="R58" s="56"/>
    </row>
    <row r="59" spans="2:18" ht="42" thickBot="1">
      <c r="C59" s="49"/>
      <c r="D59" s="49" t="s">
        <v>0</v>
      </c>
      <c r="E59" s="50">
        <v>46125</v>
      </c>
      <c r="F59" s="49" t="s">
        <v>1</v>
      </c>
      <c r="G59" s="51">
        <v>22150</v>
      </c>
      <c r="H59" s="51">
        <v>1775</v>
      </c>
      <c r="I59" s="51">
        <v>1775</v>
      </c>
      <c r="J59" s="51">
        <v>1623.45</v>
      </c>
      <c r="K59" s="51">
        <v>1623.55</v>
      </c>
      <c r="L59" s="51">
        <v>1748.4</v>
      </c>
      <c r="M59" s="54">
        <v>1623.55</v>
      </c>
      <c r="N59" s="49">
        <v>-124.85</v>
      </c>
      <c r="O59" s="49">
        <v>-7.14</v>
      </c>
      <c r="P59" s="49">
        <v>12</v>
      </c>
      <c r="Q59" s="49">
        <v>13.18</v>
      </c>
      <c r="R59" s="56"/>
    </row>
    <row r="60" spans="2:18" ht="42" thickBot="1">
      <c r="C60" s="49"/>
      <c r="D60" s="49" t="s">
        <v>0</v>
      </c>
      <c r="E60" s="50">
        <v>46125</v>
      </c>
      <c r="F60" s="49" t="s">
        <v>20</v>
      </c>
      <c r="G60" s="51">
        <v>22200</v>
      </c>
      <c r="H60" s="49">
        <v>8</v>
      </c>
      <c r="I60" s="49">
        <v>8</v>
      </c>
      <c r="J60" s="49">
        <v>2.65</v>
      </c>
      <c r="K60" s="49">
        <v>3.4</v>
      </c>
      <c r="L60" s="49">
        <v>8.75</v>
      </c>
      <c r="M60" s="52">
        <v>2.7</v>
      </c>
      <c r="N60" s="49">
        <v>-6.05</v>
      </c>
      <c r="O60" s="49">
        <v>-69.14</v>
      </c>
      <c r="P60" s="53">
        <v>186341</v>
      </c>
      <c r="Q60" s="49">
        <v>562</v>
      </c>
      <c r="R60" s="56"/>
    </row>
    <row r="61" spans="2:18" ht="42" thickBot="1">
      <c r="C61" s="49"/>
      <c r="D61" s="49" t="s">
        <v>0</v>
      </c>
      <c r="E61" s="50">
        <v>46125</v>
      </c>
      <c r="F61" s="49" t="s">
        <v>1</v>
      </c>
      <c r="G61" s="51">
        <v>22200</v>
      </c>
      <c r="H61" s="51">
        <v>1700</v>
      </c>
      <c r="I61" s="51">
        <v>1735.3</v>
      </c>
      <c r="J61" s="51">
        <v>1496.7</v>
      </c>
      <c r="K61" s="51">
        <v>1618.55</v>
      </c>
      <c r="L61" s="51">
        <v>1817.35</v>
      </c>
      <c r="M61" s="54">
        <v>1603.65</v>
      </c>
      <c r="N61" s="49">
        <v>-213.7</v>
      </c>
      <c r="O61" s="49">
        <v>-11.76</v>
      </c>
      <c r="P61" s="49">
        <v>441</v>
      </c>
      <c r="Q61" s="49">
        <v>465.46</v>
      </c>
      <c r="R61" s="56"/>
    </row>
    <row r="62" spans="2:18" ht="42" thickBot="1">
      <c r="C62" s="49"/>
      <c r="D62" s="49" t="s">
        <v>0</v>
      </c>
      <c r="E62" s="50">
        <v>46125</v>
      </c>
      <c r="F62" s="49" t="s">
        <v>20</v>
      </c>
      <c r="G62" s="51">
        <v>22250</v>
      </c>
      <c r="H62" s="49">
        <v>9.0500000000000007</v>
      </c>
      <c r="I62" s="49">
        <v>9.0500000000000007</v>
      </c>
      <c r="J62" s="49">
        <v>2.95</v>
      </c>
      <c r="K62" s="49">
        <v>3.7</v>
      </c>
      <c r="L62" s="49">
        <v>9.4499999999999993</v>
      </c>
      <c r="M62" s="52">
        <v>3.1</v>
      </c>
      <c r="N62" s="49">
        <v>-6.35</v>
      </c>
      <c r="O62" s="49">
        <v>-67.2</v>
      </c>
      <c r="P62" s="53">
        <v>49797</v>
      </c>
      <c r="Q62" s="49">
        <v>165.4</v>
      </c>
      <c r="R62" s="56"/>
    </row>
    <row r="63" spans="2:18" s="31" customFormat="1" ht="42" thickBot="1">
      <c r="C63" s="49"/>
      <c r="D63" s="49" t="s">
        <v>0</v>
      </c>
      <c r="E63" s="50">
        <v>46125</v>
      </c>
      <c r="F63" s="49" t="s">
        <v>1</v>
      </c>
      <c r="G63" s="51">
        <v>22250</v>
      </c>
      <c r="H63" s="51">
        <v>1525.35</v>
      </c>
      <c r="I63" s="51">
        <v>1595</v>
      </c>
      <c r="J63" s="51">
        <v>1525.35</v>
      </c>
      <c r="K63" s="51">
        <v>1563.45</v>
      </c>
      <c r="L63" s="51">
        <v>1752.3</v>
      </c>
      <c r="M63" s="54">
        <v>1563.45</v>
      </c>
      <c r="N63" s="49">
        <v>-188.85</v>
      </c>
      <c r="O63" s="49">
        <v>-10.78</v>
      </c>
      <c r="P63" s="49">
        <v>6</v>
      </c>
      <c r="Q63" s="49">
        <v>6.02</v>
      </c>
      <c r="R63" s="56"/>
    </row>
    <row r="64" spans="2:18" ht="42" thickBot="1">
      <c r="C64" s="49"/>
      <c r="D64" s="49" t="s">
        <v>0</v>
      </c>
      <c r="E64" s="50">
        <v>46125</v>
      </c>
      <c r="F64" s="49" t="s">
        <v>20</v>
      </c>
      <c r="G64" s="51">
        <v>22300</v>
      </c>
      <c r="H64" s="49">
        <v>10.7</v>
      </c>
      <c r="I64" s="49">
        <v>10.7</v>
      </c>
      <c r="J64" s="49">
        <v>3.2</v>
      </c>
      <c r="K64" s="49">
        <v>3.95</v>
      </c>
      <c r="L64" s="49">
        <v>10.050000000000001</v>
      </c>
      <c r="M64" s="52">
        <v>3.35</v>
      </c>
      <c r="N64" s="49">
        <v>-6.7</v>
      </c>
      <c r="O64" s="49">
        <v>-66.67</v>
      </c>
      <c r="P64" s="53">
        <v>189612</v>
      </c>
      <c r="Q64" s="49">
        <v>669.24</v>
      </c>
      <c r="R64" s="56"/>
    </row>
    <row r="65" spans="2:19" ht="42" thickBot="1">
      <c r="C65" s="49"/>
      <c r="D65" s="49" t="s">
        <v>0</v>
      </c>
      <c r="E65" s="50">
        <v>46125</v>
      </c>
      <c r="F65" s="49" t="s">
        <v>1</v>
      </c>
      <c r="G65" s="51">
        <v>22300</v>
      </c>
      <c r="H65" s="51">
        <v>1575</v>
      </c>
      <c r="I65" s="51">
        <v>1666.7</v>
      </c>
      <c r="J65" s="51">
        <v>1435.35</v>
      </c>
      <c r="K65" s="51">
        <v>1500.15</v>
      </c>
      <c r="L65" s="51">
        <v>1714.6</v>
      </c>
      <c r="M65" s="54">
        <v>1507</v>
      </c>
      <c r="N65" s="49">
        <v>-207.6</v>
      </c>
      <c r="O65" s="49">
        <v>-12.11</v>
      </c>
      <c r="P65" s="49">
        <v>377</v>
      </c>
      <c r="Q65" s="49">
        <v>377.77</v>
      </c>
      <c r="R65" s="56"/>
    </row>
    <row r="66" spans="2:19" ht="42" thickBot="1">
      <c r="C66" s="49"/>
      <c r="D66" s="49" t="s">
        <v>0</v>
      </c>
      <c r="E66" s="50">
        <v>46125</v>
      </c>
      <c r="F66" s="49" t="s">
        <v>20</v>
      </c>
      <c r="G66" s="51">
        <v>22350</v>
      </c>
      <c r="H66" s="49">
        <v>11.25</v>
      </c>
      <c r="I66" s="49">
        <v>11.25</v>
      </c>
      <c r="J66" s="49">
        <v>3.65</v>
      </c>
      <c r="K66" s="49">
        <v>4.55</v>
      </c>
      <c r="L66" s="49">
        <v>10.7</v>
      </c>
      <c r="M66" s="52">
        <v>3.7</v>
      </c>
      <c r="N66" s="49">
        <v>-7</v>
      </c>
      <c r="O66" s="49">
        <v>-65.42</v>
      </c>
      <c r="P66" s="53">
        <v>80259</v>
      </c>
      <c r="Q66" s="49">
        <v>303.62</v>
      </c>
      <c r="R66" s="56"/>
    </row>
    <row r="67" spans="2:19" ht="42" thickBot="1">
      <c r="C67" s="49"/>
      <c r="D67" s="49" t="s">
        <v>0</v>
      </c>
      <c r="E67" s="50">
        <v>46125</v>
      </c>
      <c r="F67" s="49" t="s">
        <v>1</v>
      </c>
      <c r="G67" s="51">
        <v>22350</v>
      </c>
      <c r="H67" s="51">
        <v>1485</v>
      </c>
      <c r="I67" s="51">
        <v>1499.85</v>
      </c>
      <c r="J67" s="51">
        <v>1370</v>
      </c>
      <c r="K67" s="51">
        <v>1422.35</v>
      </c>
      <c r="L67" s="51">
        <v>1663.95</v>
      </c>
      <c r="M67" s="54">
        <v>1422.35</v>
      </c>
      <c r="N67" s="49">
        <v>-241.6</v>
      </c>
      <c r="O67" s="49">
        <v>-14.52</v>
      </c>
      <c r="P67" s="49">
        <v>14</v>
      </c>
      <c r="Q67" s="49">
        <v>13.21</v>
      </c>
      <c r="R67" s="56"/>
    </row>
    <row r="68" spans="2:19" ht="42" thickBot="1">
      <c r="C68" s="49"/>
      <c r="D68" s="49" t="s">
        <v>0</v>
      </c>
      <c r="E68" s="50">
        <v>46125</v>
      </c>
      <c r="F68" s="49" t="s">
        <v>20</v>
      </c>
      <c r="G68" s="51">
        <v>22400</v>
      </c>
      <c r="H68" s="49">
        <v>11.95</v>
      </c>
      <c r="I68" s="49">
        <v>11.95</v>
      </c>
      <c r="J68" s="49">
        <v>4</v>
      </c>
      <c r="K68" s="49">
        <v>4.8499999999999996</v>
      </c>
      <c r="L68" s="49">
        <v>11.45</v>
      </c>
      <c r="M68" s="52">
        <v>4.2</v>
      </c>
      <c r="N68" s="49">
        <v>-7.25</v>
      </c>
      <c r="O68" s="49">
        <v>-63.32</v>
      </c>
      <c r="P68" s="53">
        <v>197611</v>
      </c>
      <c r="Q68" s="49">
        <v>834.91</v>
      </c>
      <c r="R68" s="56"/>
    </row>
    <row r="69" spans="2:19" ht="42" thickBot="1">
      <c r="C69" s="49"/>
      <c r="D69" s="49" t="s">
        <v>0</v>
      </c>
      <c r="E69" s="50">
        <v>46125</v>
      </c>
      <c r="F69" s="49" t="s">
        <v>1</v>
      </c>
      <c r="G69" s="51">
        <v>22400</v>
      </c>
      <c r="H69" s="51">
        <v>1511.2</v>
      </c>
      <c r="I69" s="51">
        <v>1598</v>
      </c>
      <c r="J69" s="51">
        <v>1313.7</v>
      </c>
      <c r="K69" s="51">
        <v>1415.95</v>
      </c>
      <c r="L69" s="51">
        <v>1613.55</v>
      </c>
      <c r="M69" s="54">
        <v>1415.65</v>
      </c>
      <c r="N69" s="49">
        <v>-197.9</v>
      </c>
      <c r="O69" s="49">
        <v>-12.26</v>
      </c>
      <c r="P69" s="53">
        <v>2155</v>
      </c>
      <c r="Q69" s="51">
        <v>2073.12</v>
      </c>
      <c r="R69" s="56"/>
    </row>
    <row r="70" spans="2:19" ht="42" thickBot="1">
      <c r="C70" s="49"/>
      <c r="D70" s="49" t="s">
        <v>0</v>
      </c>
      <c r="E70" s="50">
        <v>46125</v>
      </c>
      <c r="F70" s="49" t="s">
        <v>20</v>
      </c>
      <c r="G70" s="51">
        <v>22450</v>
      </c>
      <c r="H70" s="49">
        <v>11.9</v>
      </c>
      <c r="I70" s="49">
        <v>11.9</v>
      </c>
      <c r="J70" s="49">
        <v>4.4000000000000004</v>
      </c>
      <c r="K70" s="49">
        <v>5.4</v>
      </c>
      <c r="L70" s="49">
        <v>11.9</v>
      </c>
      <c r="M70" s="52">
        <v>4.55</v>
      </c>
      <c r="N70" s="49">
        <v>-7.35</v>
      </c>
      <c r="O70" s="49">
        <v>-61.76</v>
      </c>
      <c r="P70" s="53">
        <v>58767</v>
      </c>
      <c r="Q70" s="49">
        <v>268.14999999999998</v>
      </c>
      <c r="R70" s="56"/>
    </row>
    <row r="71" spans="2:19" ht="42" thickBot="1">
      <c r="B71" s="31"/>
      <c r="C71" s="49"/>
      <c r="D71" s="49" t="s">
        <v>0</v>
      </c>
      <c r="E71" s="50">
        <v>46125</v>
      </c>
      <c r="F71" s="49" t="s">
        <v>1</v>
      </c>
      <c r="G71" s="51">
        <v>22450</v>
      </c>
      <c r="H71" s="51">
        <v>1429.9</v>
      </c>
      <c r="I71" s="51">
        <v>1511.9</v>
      </c>
      <c r="J71" s="51">
        <v>1280.0999999999999</v>
      </c>
      <c r="K71" s="51">
        <v>1354.45</v>
      </c>
      <c r="L71" s="51">
        <v>1574.6</v>
      </c>
      <c r="M71" s="54">
        <v>1380</v>
      </c>
      <c r="N71" s="49">
        <v>-194.6</v>
      </c>
      <c r="O71" s="49">
        <v>-12.36</v>
      </c>
      <c r="P71" s="49">
        <v>64</v>
      </c>
      <c r="Q71" s="49">
        <v>60.37</v>
      </c>
      <c r="R71" s="56"/>
      <c r="S71" s="31"/>
    </row>
    <row r="72" spans="2:19" ht="42" thickBot="1">
      <c r="C72" s="49"/>
      <c r="D72" s="49" t="s">
        <v>0</v>
      </c>
      <c r="E72" s="50">
        <v>46125</v>
      </c>
      <c r="F72" s="49" t="s">
        <v>20</v>
      </c>
      <c r="G72" s="51">
        <v>22500</v>
      </c>
      <c r="H72" s="49">
        <v>12.4</v>
      </c>
      <c r="I72" s="49">
        <v>12.5</v>
      </c>
      <c r="J72" s="49">
        <v>4.95</v>
      </c>
      <c r="K72" s="49">
        <v>5.9</v>
      </c>
      <c r="L72" s="49">
        <v>12.4</v>
      </c>
      <c r="M72" s="52">
        <v>5.2</v>
      </c>
      <c r="N72" s="49">
        <v>-7.2</v>
      </c>
      <c r="O72" s="49">
        <v>-58.06</v>
      </c>
      <c r="P72" s="53">
        <v>500073</v>
      </c>
      <c r="Q72" s="51">
        <v>2450.86</v>
      </c>
      <c r="R72" s="56"/>
    </row>
    <row r="73" spans="2:19" ht="42" thickBot="1">
      <c r="C73" s="49"/>
      <c r="D73" s="49" t="s">
        <v>0</v>
      </c>
      <c r="E73" s="50">
        <v>46125</v>
      </c>
      <c r="F73" s="49" t="s">
        <v>1</v>
      </c>
      <c r="G73" s="51">
        <v>22500</v>
      </c>
      <c r="H73" s="51">
        <v>1400</v>
      </c>
      <c r="I73" s="51">
        <v>1490</v>
      </c>
      <c r="J73" s="51">
        <v>1204</v>
      </c>
      <c r="K73" s="51">
        <v>1306.4000000000001</v>
      </c>
      <c r="L73" s="51">
        <v>1525.8</v>
      </c>
      <c r="M73" s="54">
        <v>1310.25</v>
      </c>
      <c r="N73" s="49">
        <v>-215.55</v>
      </c>
      <c r="O73" s="49">
        <v>-14.13</v>
      </c>
      <c r="P73" s="53">
        <v>2731</v>
      </c>
      <c r="Q73" s="51">
        <v>2428.09</v>
      </c>
      <c r="R73" s="56"/>
    </row>
    <row r="74" spans="2:19" ht="42" thickBot="1">
      <c r="C74" s="49"/>
      <c r="D74" s="49" t="s">
        <v>0</v>
      </c>
      <c r="E74" s="50">
        <v>46125</v>
      </c>
      <c r="F74" s="49" t="s">
        <v>20</v>
      </c>
      <c r="G74" s="51">
        <v>22550</v>
      </c>
      <c r="H74" s="49">
        <v>13</v>
      </c>
      <c r="I74" s="49">
        <v>13.15</v>
      </c>
      <c r="J74" s="49">
        <v>5.55</v>
      </c>
      <c r="K74" s="49">
        <v>6.55</v>
      </c>
      <c r="L74" s="49">
        <v>13.55</v>
      </c>
      <c r="M74" s="52">
        <v>5.75</v>
      </c>
      <c r="N74" s="49">
        <v>-7.8</v>
      </c>
      <c r="O74" s="49">
        <v>-57.56</v>
      </c>
      <c r="P74" s="53">
        <v>80547</v>
      </c>
      <c r="Q74" s="49">
        <v>445.02</v>
      </c>
      <c r="R74" s="56"/>
    </row>
    <row r="75" spans="2:19" ht="42" thickBot="1">
      <c r="C75" s="49"/>
      <c r="D75" s="49" t="s">
        <v>0</v>
      </c>
      <c r="E75" s="50">
        <v>46125</v>
      </c>
      <c r="F75" s="49" t="s">
        <v>1</v>
      </c>
      <c r="G75" s="51">
        <v>22550</v>
      </c>
      <c r="H75" s="51">
        <v>1430</v>
      </c>
      <c r="I75" s="51">
        <v>1430</v>
      </c>
      <c r="J75" s="51">
        <v>1223.9000000000001</v>
      </c>
      <c r="K75" s="51">
        <v>1273.45</v>
      </c>
      <c r="L75" s="51">
        <v>1459.5</v>
      </c>
      <c r="M75" s="54">
        <v>1273.45</v>
      </c>
      <c r="N75" s="49">
        <v>-186.05</v>
      </c>
      <c r="O75" s="49">
        <v>-12.75</v>
      </c>
      <c r="P75" s="49">
        <v>8</v>
      </c>
      <c r="Q75" s="49">
        <v>6.76</v>
      </c>
      <c r="R75" s="56"/>
    </row>
    <row r="76" spans="2:19" ht="42" thickBot="1">
      <c r="C76" s="49"/>
      <c r="D76" s="49" t="s">
        <v>0</v>
      </c>
      <c r="E76" s="50">
        <v>46125</v>
      </c>
      <c r="F76" s="49" t="s">
        <v>20</v>
      </c>
      <c r="G76" s="51">
        <v>22600</v>
      </c>
      <c r="H76" s="49">
        <v>14.9</v>
      </c>
      <c r="I76" s="49">
        <v>14.9</v>
      </c>
      <c r="J76" s="49">
        <v>6</v>
      </c>
      <c r="K76" s="49">
        <v>7.2</v>
      </c>
      <c r="L76" s="49">
        <v>14.25</v>
      </c>
      <c r="M76" s="52">
        <v>6.4</v>
      </c>
      <c r="N76" s="49">
        <v>-7.85</v>
      </c>
      <c r="O76" s="49">
        <v>-55.09</v>
      </c>
      <c r="P76" s="53">
        <v>185750</v>
      </c>
      <c r="Q76" s="51">
        <v>1128.9000000000001</v>
      </c>
      <c r="R76" s="56"/>
    </row>
    <row r="77" spans="2:19" ht="42" thickBot="1">
      <c r="C77" s="49"/>
      <c r="D77" s="49" t="s">
        <v>0</v>
      </c>
      <c r="E77" s="50">
        <v>46125</v>
      </c>
      <c r="F77" s="49" t="s">
        <v>1</v>
      </c>
      <c r="G77" s="51">
        <v>22600</v>
      </c>
      <c r="H77" s="51">
        <v>1250.25</v>
      </c>
      <c r="I77" s="51">
        <v>1391</v>
      </c>
      <c r="J77" s="51">
        <v>1105</v>
      </c>
      <c r="K77" s="51">
        <v>1213.1500000000001</v>
      </c>
      <c r="L77" s="51">
        <v>1417.55</v>
      </c>
      <c r="M77" s="54">
        <v>1214</v>
      </c>
      <c r="N77" s="49">
        <v>-203.55</v>
      </c>
      <c r="O77" s="49">
        <v>-14.36</v>
      </c>
      <c r="P77" s="49">
        <v>740</v>
      </c>
      <c r="Q77" s="49">
        <v>615.04</v>
      </c>
      <c r="R77" s="56"/>
    </row>
    <row r="78" spans="2:19" ht="42" thickBot="1">
      <c r="C78" s="49"/>
      <c r="D78" s="49" t="s">
        <v>0</v>
      </c>
      <c r="E78" s="50">
        <v>46125</v>
      </c>
      <c r="F78" s="49" t="s">
        <v>20</v>
      </c>
      <c r="G78" s="51">
        <v>22650</v>
      </c>
      <c r="H78" s="49">
        <v>16</v>
      </c>
      <c r="I78" s="49">
        <v>18</v>
      </c>
      <c r="J78" s="49">
        <v>6.75</v>
      </c>
      <c r="K78" s="49">
        <v>8.35</v>
      </c>
      <c r="L78" s="49">
        <v>15.25</v>
      </c>
      <c r="M78" s="52">
        <v>7.25</v>
      </c>
      <c r="N78" s="49">
        <v>-8</v>
      </c>
      <c r="O78" s="49">
        <v>-52.46</v>
      </c>
      <c r="P78" s="53">
        <v>92599</v>
      </c>
      <c r="Q78" s="49">
        <v>631.39</v>
      </c>
      <c r="R78" s="56"/>
    </row>
    <row r="79" spans="2:19" ht="42" thickBot="1">
      <c r="C79" s="49"/>
      <c r="D79" s="49" t="s">
        <v>0</v>
      </c>
      <c r="E79" s="50">
        <v>46125</v>
      </c>
      <c r="F79" s="49" t="s">
        <v>1</v>
      </c>
      <c r="G79" s="51">
        <v>22650</v>
      </c>
      <c r="H79" s="51">
        <v>1322.55</v>
      </c>
      <c r="I79" s="51">
        <v>1338.3</v>
      </c>
      <c r="J79" s="51">
        <v>1103</v>
      </c>
      <c r="K79" s="51">
        <v>1164.45</v>
      </c>
      <c r="L79" s="51">
        <v>1377.85</v>
      </c>
      <c r="M79" s="54">
        <v>1167.3</v>
      </c>
      <c r="N79" s="49">
        <v>-210.55</v>
      </c>
      <c r="O79" s="49">
        <v>-15.28</v>
      </c>
      <c r="P79" s="49">
        <v>126</v>
      </c>
      <c r="Q79" s="49">
        <v>99.54</v>
      </c>
      <c r="R79" s="56"/>
    </row>
    <row r="80" spans="2:19" ht="42" thickBot="1">
      <c r="C80" s="49"/>
      <c r="D80" s="49" t="s">
        <v>0</v>
      </c>
      <c r="E80" s="50">
        <v>46125</v>
      </c>
      <c r="F80" s="49" t="s">
        <v>20</v>
      </c>
      <c r="G80" s="51">
        <v>22700</v>
      </c>
      <c r="H80" s="49">
        <v>17.45</v>
      </c>
      <c r="I80" s="49">
        <v>17.55</v>
      </c>
      <c r="J80" s="49">
        <v>7.5</v>
      </c>
      <c r="K80" s="49">
        <v>9.25</v>
      </c>
      <c r="L80" s="49">
        <v>16.2</v>
      </c>
      <c r="M80" s="52">
        <v>8.3000000000000007</v>
      </c>
      <c r="N80" s="49">
        <v>-7.9</v>
      </c>
      <c r="O80" s="49">
        <v>-48.77</v>
      </c>
      <c r="P80" s="53">
        <v>250381</v>
      </c>
      <c r="Q80" s="51">
        <v>1904.15</v>
      </c>
      <c r="R80" s="56"/>
    </row>
    <row r="81" spans="3:18" ht="42" thickBot="1">
      <c r="C81" s="49"/>
      <c r="D81" s="49" t="s">
        <v>0</v>
      </c>
      <c r="E81" s="50">
        <v>46125</v>
      </c>
      <c r="F81" s="49" t="s">
        <v>1</v>
      </c>
      <c r="G81" s="51">
        <v>22700</v>
      </c>
      <c r="H81" s="51">
        <v>1189.95</v>
      </c>
      <c r="I81" s="51">
        <v>1299.4000000000001</v>
      </c>
      <c r="J81" s="51">
        <v>1008.2</v>
      </c>
      <c r="K81" s="51">
        <v>1106.5</v>
      </c>
      <c r="L81" s="51">
        <v>1321.6</v>
      </c>
      <c r="M81" s="54">
        <v>1121.2</v>
      </c>
      <c r="N81" s="49">
        <v>-200.4</v>
      </c>
      <c r="O81" s="49">
        <v>-15.16</v>
      </c>
      <c r="P81" s="53">
        <v>2046</v>
      </c>
      <c r="Q81" s="51">
        <v>1523.09</v>
      </c>
      <c r="R81" s="56"/>
    </row>
    <row r="82" spans="3:18" ht="42" thickBot="1">
      <c r="C82" s="49"/>
      <c r="D82" s="49" t="s">
        <v>0</v>
      </c>
      <c r="E82" s="50">
        <v>46125</v>
      </c>
      <c r="F82" s="49" t="s">
        <v>20</v>
      </c>
      <c r="G82" s="51">
        <v>22750</v>
      </c>
      <c r="H82" s="49">
        <v>18.600000000000001</v>
      </c>
      <c r="I82" s="49">
        <v>19.899999999999999</v>
      </c>
      <c r="J82" s="49">
        <v>8.5500000000000007</v>
      </c>
      <c r="K82" s="49">
        <v>10.55</v>
      </c>
      <c r="L82" s="49">
        <v>17.55</v>
      </c>
      <c r="M82" s="52">
        <v>9.4</v>
      </c>
      <c r="N82" s="49">
        <v>-8.15</v>
      </c>
      <c r="O82" s="49">
        <v>-46.44</v>
      </c>
      <c r="P82" s="53">
        <v>122226</v>
      </c>
      <c r="Q82" s="51">
        <v>1033.5999999999999</v>
      </c>
      <c r="R82" s="56"/>
    </row>
    <row r="83" spans="3:18" ht="42" thickBot="1">
      <c r="C83" s="49"/>
      <c r="D83" s="49" t="s">
        <v>0</v>
      </c>
      <c r="E83" s="50">
        <v>46125</v>
      </c>
      <c r="F83" s="49" t="s">
        <v>1</v>
      </c>
      <c r="G83" s="51">
        <v>22750</v>
      </c>
      <c r="H83" s="51">
        <v>1144.75</v>
      </c>
      <c r="I83" s="51">
        <v>1244.05</v>
      </c>
      <c r="J83" s="49">
        <v>960.6</v>
      </c>
      <c r="K83" s="51">
        <v>1056.5999999999999</v>
      </c>
      <c r="L83" s="51">
        <v>1282.9000000000001</v>
      </c>
      <c r="M83" s="54">
        <v>1067.5999999999999</v>
      </c>
      <c r="N83" s="49">
        <v>-215.3</v>
      </c>
      <c r="O83" s="49">
        <v>-16.78</v>
      </c>
      <c r="P83" s="49">
        <v>157</v>
      </c>
      <c r="Q83" s="49">
        <v>111.57</v>
      </c>
      <c r="R83" s="56"/>
    </row>
    <row r="84" spans="3:18" ht="42" thickBot="1">
      <c r="C84" s="49"/>
      <c r="D84" s="49" t="s">
        <v>0</v>
      </c>
      <c r="E84" s="50">
        <v>46125</v>
      </c>
      <c r="F84" s="49" t="s">
        <v>20</v>
      </c>
      <c r="G84" s="51">
        <v>22800</v>
      </c>
      <c r="H84" s="49">
        <v>16.5</v>
      </c>
      <c r="I84" s="49">
        <v>22.3</v>
      </c>
      <c r="J84" s="49">
        <v>9.65</v>
      </c>
      <c r="K84" s="49">
        <v>11.55</v>
      </c>
      <c r="L84" s="49">
        <v>18.649999999999999</v>
      </c>
      <c r="M84" s="52">
        <v>10.8</v>
      </c>
      <c r="N84" s="49">
        <v>-7.85</v>
      </c>
      <c r="O84" s="49">
        <v>-42.09</v>
      </c>
      <c r="P84" s="53">
        <v>343986</v>
      </c>
      <c r="Q84" s="51">
        <v>3183.93</v>
      </c>
      <c r="R84" s="56"/>
    </row>
    <row r="85" spans="3:18" ht="42" thickBot="1">
      <c r="C85" s="49"/>
      <c r="D85" s="49" t="s">
        <v>0</v>
      </c>
      <c r="E85" s="50">
        <v>46125</v>
      </c>
      <c r="F85" s="49" t="s">
        <v>1</v>
      </c>
      <c r="G85" s="51">
        <v>22800</v>
      </c>
      <c r="H85" s="51">
        <v>1098.55</v>
      </c>
      <c r="I85" s="51">
        <v>1195.8499999999999</v>
      </c>
      <c r="J85" s="49">
        <v>913.6</v>
      </c>
      <c r="K85" s="51">
        <v>1012.2</v>
      </c>
      <c r="L85" s="51">
        <v>1222.0999999999999</v>
      </c>
      <c r="M85" s="54">
        <v>1024.1500000000001</v>
      </c>
      <c r="N85" s="49">
        <v>-197.95</v>
      </c>
      <c r="O85" s="49">
        <v>-16.2</v>
      </c>
      <c r="P85" s="53">
        <v>2298</v>
      </c>
      <c r="Q85" s="51">
        <v>1572.57</v>
      </c>
      <c r="R85" s="56"/>
    </row>
    <row r="86" spans="3:18" ht="42" thickBot="1">
      <c r="C86" s="49"/>
      <c r="D86" s="49" t="s">
        <v>0</v>
      </c>
      <c r="E86" s="50">
        <v>46125</v>
      </c>
      <c r="F86" s="49" t="s">
        <v>20</v>
      </c>
      <c r="G86" s="51">
        <v>22850</v>
      </c>
      <c r="H86" s="49">
        <v>20.95</v>
      </c>
      <c r="I86" s="49">
        <v>30</v>
      </c>
      <c r="J86" s="49">
        <v>10</v>
      </c>
      <c r="K86" s="49">
        <v>13.2</v>
      </c>
      <c r="L86" s="49">
        <v>20.149999999999999</v>
      </c>
      <c r="M86" s="52">
        <v>12.35</v>
      </c>
      <c r="N86" s="49">
        <v>-7.8</v>
      </c>
      <c r="O86" s="49">
        <v>-38.71</v>
      </c>
      <c r="P86" s="53">
        <v>140013</v>
      </c>
      <c r="Q86" s="51">
        <v>1483.44</v>
      </c>
      <c r="R86" s="56"/>
    </row>
    <row r="87" spans="3:18" ht="42" thickBot="1">
      <c r="C87" s="49"/>
      <c r="D87" s="49" t="s">
        <v>0</v>
      </c>
      <c r="E87" s="50">
        <v>46125</v>
      </c>
      <c r="F87" s="49" t="s">
        <v>1</v>
      </c>
      <c r="G87" s="51">
        <v>22850</v>
      </c>
      <c r="H87" s="51">
        <v>1092.55</v>
      </c>
      <c r="I87" s="51">
        <v>1159.3499999999999</v>
      </c>
      <c r="J87" s="49">
        <v>865.4</v>
      </c>
      <c r="K87" s="49">
        <v>977.2</v>
      </c>
      <c r="L87" s="51">
        <v>1171.0999999999999</v>
      </c>
      <c r="M87" s="52">
        <v>968.25</v>
      </c>
      <c r="N87" s="49">
        <v>-202.85</v>
      </c>
      <c r="O87" s="49">
        <v>-17.32</v>
      </c>
      <c r="P87" s="49">
        <v>577</v>
      </c>
      <c r="Q87" s="49">
        <v>380.17</v>
      </c>
      <c r="R87" s="56"/>
    </row>
    <row r="88" spans="3:18" ht="42" thickBot="1">
      <c r="C88" s="49"/>
      <c r="D88" s="49" t="s">
        <v>0</v>
      </c>
      <c r="E88" s="50">
        <v>46125</v>
      </c>
      <c r="F88" s="49" t="s">
        <v>20</v>
      </c>
      <c r="G88" s="51">
        <v>22900</v>
      </c>
      <c r="H88" s="49">
        <v>22.3</v>
      </c>
      <c r="I88" s="49">
        <v>28.5</v>
      </c>
      <c r="J88" s="49">
        <v>12.7</v>
      </c>
      <c r="K88" s="49">
        <v>15</v>
      </c>
      <c r="L88" s="49">
        <v>21.65</v>
      </c>
      <c r="M88" s="52">
        <v>14.2</v>
      </c>
      <c r="N88" s="49">
        <v>-7.45</v>
      </c>
      <c r="O88" s="49">
        <v>-34.409999999999997</v>
      </c>
      <c r="P88" s="53">
        <v>347173</v>
      </c>
      <c r="Q88" s="51">
        <v>4034.84</v>
      </c>
      <c r="R88" s="56"/>
    </row>
    <row r="89" spans="3:18" ht="42" thickBot="1">
      <c r="C89" s="49"/>
      <c r="D89" s="49" t="s">
        <v>0</v>
      </c>
      <c r="E89" s="50">
        <v>46125</v>
      </c>
      <c r="F89" s="49" t="s">
        <v>1</v>
      </c>
      <c r="G89" s="51">
        <v>22900</v>
      </c>
      <c r="H89" s="51">
        <v>1011.05</v>
      </c>
      <c r="I89" s="51">
        <v>1103</v>
      </c>
      <c r="J89" s="49">
        <v>821</v>
      </c>
      <c r="K89" s="49">
        <v>921.4</v>
      </c>
      <c r="L89" s="51">
        <v>1129.1500000000001</v>
      </c>
      <c r="M89" s="52">
        <v>922.85</v>
      </c>
      <c r="N89" s="49">
        <v>-206.3</v>
      </c>
      <c r="O89" s="49">
        <v>-18.27</v>
      </c>
      <c r="P89" s="53">
        <v>2906</v>
      </c>
      <c r="Q89" s="51">
        <v>1821.09</v>
      </c>
      <c r="R89" s="56"/>
    </row>
    <row r="90" spans="3:18" ht="42" thickBot="1">
      <c r="C90" s="49"/>
      <c r="D90" s="49" t="s">
        <v>0</v>
      </c>
      <c r="E90" s="50">
        <v>46125</v>
      </c>
      <c r="F90" s="49" t="s">
        <v>20</v>
      </c>
      <c r="G90" s="51">
        <v>22950</v>
      </c>
      <c r="H90" s="49">
        <v>21</v>
      </c>
      <c r="I90" s="49">
        <v>33.5</v>
      </c>
      <c r="J90" s="49">
        <v>14.85</v>
      </c>
      <c r="K90" s="49">
        <v>17.5</v>
      </c>
      <c r="L90" s="49">
        <v>23.4</v>
      </c>
      <c r="M90" s="52">
        <v>16.45</v>
      </c>
      <c r="N90" s="49">
        <v>-6.95</v>
      </c>
      <c r="O90" s="49">
        <v>-29.7</v>
      </c>
      <c r="P90" s="53">
        <v>149472</v>
      </c>
      <c r="Q90" s="51">
        <v>2059.7199999999998</v>
      </c>
      <c r="R90" s="56"/>
    </row>
    <row r="91" spans="3:18" ht="42" thickBot="1">
      <c r="C91" s="49"/>
      <c r="D91" s="49" t="s">
        <v>0</v>
      </c>
      <c r="E91" s="50">
        <v>46125</v>
      </c>
      <c r="F91" s="49" t="s">
        <v>1</v>
      </c>
      <c r="G91" s="51">
        <v>22950</v>
      </c>
      <c r="H91" s="49">
        <v>892.9</v>
      </c>
      <c r="I91" s="51">
        <v>1059.9000000000001</v>
      </c>
      <c r="J91" s="49">
        <v>773.05</v>
      </c>
      <c r="K91" s="49">
        <v>876.95</v>
      </c>
      <c r="L91" s="51">
        <v>1075.8</v>
      </c>
      <c r="M91" s="52">
        <v>876</v>
      </c>
      <c r="N91" s="49">
        <v>-199.8</v>
      </c>
      <c r="O91" s="49">
        <v>-18.57</v>
      </c>
      <c r="P91" s="49">
        <v>351</v>
      </c>
      <c r="Q91" s="49">
        <v>207.66</v>
      </c>
      <c r="R91" s="56"/>
    </row>
    <row r="92" spans="3:18" ht="42" thickBot="1">
      <c r="C92" s="49"/>
      <c r="D92" s="49" t="s">
        <v>0</v>
      </c>
      <c r="E92" s="50">
        <v>46125</v>
      </c>
      <c r="F92" s="49" t="s">
        <v>20</v>
      </c>
      <c r="G92" s="51">
        <v>23000</v>
      </c>
      <c r="H92" s="49">
        <v>22.5</v>
      </c>
      <c r="I92" s="49">
        <v>37.200000000000003</v>
      </c>
      <c r="J92" s="49">
        <v>16.649999999999999</v>
      </c>
      <c r="K92" s="49">
        <v>20.100000000000001</v>
      </c>
      <c r="L92" s="49">
        <v>25.25</v>
      </c>
      <c r="M92" s="52">
        <v>19.149999999999999</v>
      </c>
      <c r="N92" s="49">
        <v>-6.1</v>
      </c>
      <c r="O92" s="49">
        <v>-24.16</v>
      </c>
      <c r="P92" s="53">
        <v>988548</v>
      </c>
      <c r="Q92" s="51">
        <v>15080.79</v>
      </c>
      <c r="R92" s="56"/>
    </row>
    <row r="93" spans="3:18" ht="42" thickBot="1">
      <c r="C93" s="49"/>
      <c r="D93" s="49" t="s">
        <v>0</v>
      </c>
      <c r="E93" s="50">
        <v>46125</v>
      </c>
      <c r="F93" s="49" t="s">
        <v>1</v>
      </c>
      <c r="G93" s="51">
        <v>23000</v>
      </c>
      <c r="H93" s="49">
        <v>920</v>
      </c>
      <c r="I93" s="51">
        <v>1004.85</v>
      </c>
      <c r="J93" s="49">
        <v>727.3</v>
      </c>
      <c r="K93" s="49">
        <v>824.55</v>
      </c>
      <c r="L93" s="51">
        <v>1030.5999999999999</v>
      </c>
      <c r="M93" s="52">
        <v>828.5</v>
      </c>
      <c r="N93" s="49">
        <v>-202.1</v>
      </c>
      <c r="O93" s="49">
        <v>-19.61</v>
      </c>
      <c r="P93" s="53">
        <v>21219</v>
      </c>
      <c r="Q93" s="51">
        <v>11895.07</v>
      </c>
      <c r="R93" s="56"/>
    </row>
    <row r="94" spans="3:18" ht="42" thickBot="1">
      <c r="C94" s="49"/>
      <c r="D94" s="49" t="s">
        <v>0</v>
      </c>
      <c r="E94" s="50">
        <v>46125</v>
      </c>
      <c r="F94" s="49" t="s">
        <v>20</v>
      </c>
      <c r="G94" s="51">
        <v>23050</v>
      </c>
      <c r="H94" s="49">
        <v>27.2</v>
      </c>
      <c r="I94" s="49">
        <v>42.15</v>
      </c>
      <c r="J94" s="49">
        <v>18.5</v>
      </c>
      <c r="K94" s="49">
        <v>22.9</v>
      </c>
      <c r="L94" s="49">
        <v>27.35</v>
      </c>
      <c r="M94" s="52">
        <v>21.9</v>
      </c>
      <c r="N94" s="49">
        <v>-5.45</v>
      </c>
      <c r="O94" s="49">
        <v>-19.93</v>
      </c>
      <c r="P94" s="53">
        <v>169890</v>
      </c>
      <c r="Q94" s="51">
        <v>2927.46</v>
      </c>
      <c r="R94" s="56"/>
    </row>
    <row r="95" spans="3:18" ht="42" thickBot="1">
      <c r="C95" s="49"/>
      <c r="D95" s="49" t="s">
        <v>0</v>
      </c>
      <c r="E95" s="50">
        <v>46125</v>
      </c>
      <c r="F95" s="49" t="s">
        <v>1</v>
      </c>
      <c r="G95" s="51">
        <v>23050</v>
      </c>
      <c r="H95" s="49">
        <v>816.45</v>
      </c>
      <c r="I95" s="49">
        <v>953.45</v>
      </c>
      <c r="J95" s="49">
        <v>683.9</v>
      </c>
      <c r="K95" s="49">
        <v>780.35</v>
      </c>
      <c r="L95" s="49">
        <v>983.7</v>
      </c>
      <c r="M95" s="52">
        <v>782.9</v>
      </c>
      <c r="N95" s="49">
        <v>-200.8</v>
      </c>
      <c r="O95" s="49">
        <v>-20.41</v>
      </c>
      <c r="P95" s="49">
        <v>507</v>
      </c>
      <c r="Q95" s="49">
        <v>269.22000000000003</v>
      </c>
      <c r="R95" s="56"/>
    </row>
    <row r="96" spans="3:18" ht="42" thickBot="1">
      <c r="C96" s="49"/>
      <c r="D96" s="49" t="s">
        <v>0</v>
      </c>
      <c r="E96" s="50">
        <v>46125</v>
      </c>
      <c r="F96" s="49" t="s">
        <v>20</v>
      </c>
      <c r="G96" s="51">
        <v>23100</v>
      </c>
      <c r="H96" s="49">
        <v>25.9</v>
      </c>
      <c r="I96" s="49">
        <v>49</v>
      </c>
      <c r="J96" s="49">
        <v>20.6</v>
      </c>
      <c r="K96" s="49">
        <v>26.45</v>
      </c>
      <c r="L96" s="49">
        <v>29.6</v>
      </c>
      <c r="M96" s="52">
        <v>26.1</v>
      </c>
      <c r="N96" s="49">
        <v>-3.5</v>
      </c>
      <c r="O96" s="49">
        <v>-11.82</v>
      </c>
      <c r="P96" s="53">
        <v>376241</v>
      </c>
      <c r="Q96" s="51">
        <v>7493.22</v>
      </c>
      <c r="R96" s="56"/>
    </row>
    <row r="97" spans="3:18" ht="42" thickBot="1">
      <c r="C97" s="49"/>
      <c r="D97" s="49" t="s">
        <v>0</v>
      </c>
      <c r="E97" s="50">
        <v>46125</v>
      </c>
      <c r="F97" s="49" t="s">
        <v>1</v>
      </c>
      <c r="G97" s="51">
        <v>23100</v>
      </c>
      <c r="H97" s="49">
        <v>860</v>
      </c>
      <c r="I97" s="49">
        <v>906</v>
      </c>
      <c r="J97" s="49">
        <v>638</v>
      </c>
      <c r="K97" s="49">
        <v>725.15</v>
      </c>
      <c r="L97" s="49">
        <v>933.65</v>
      </c>
      <c r="M97" s="52">
        <v>732.6</v>
      </c>
      <c r="N97" s="49">
        <v>-201.05</v>
      </c>
      <c r="O97" s="49">
        <v>-21.53</v>
      </c>
      <c r="P97" s="53">
        <v>5432</v>
      </c>
      <c r="Q97" s="51">
        <v>2684.04</v>
      </c>
      <c r="R97" s="56"/>
    </row>
    <row r="98" spans="3:18" ht="42" thickBot="1">
      <c r="C98" s="49"/>
      <c r="D98" s="49" t="s">
        <v>0</v>
      </c>
      <c r="E98" s="50">
        <v>46125</v>
      </c>
      <c r="F98" s="49" t="s">
        <v>20</v>
      </c>
      <c r="G98" s="51">
        <v>23150</v>
      </c>
      <c r="H98" s="49">
        <v>34.200000000000003</v>
      </c>
      <c r="I98" s="49">
        <v>54.25</v>
      </c>
      <c r="J98" s="49">
        <v>23.15</v>
      </c>
      <c r="K98" s="49">
        <v>31.1</v>
      </c>
      <c r="L98" s="49">
        <v>32.4</v>
      </c>
      <c r="M98" s="52">
        <v>29.85</v>
      </c>
      <c r="N98" s="49">
        <v>-2.5499999999999998</v>
      </c>
      <c r="O98" s="49">
        <v>-7.87</v>
      </c>
      <c r="P98" s="53">
        <v>233504</v>
      </c>
      <c r="Q98" s="51">
        <v>5240.88</v>
      </c>
      <c r="R98" s="56"/>
    </row>
    <row r="99" spans="3:18" ht="42" thickBot="1">
      <c r="C99" s="49"/>
      <c r="D99" s="49" t="s">
        <v>0</v>
      </c>
      <c r="E99" s="50">
        <v>46125</v>
      </c>
      <c r="F99" s="49" t="s">
        <v>1</v>
      </c>
      <c r="G99" s="51">
        <v>23150</v>
      </c>
      <c r="H99" s="49">
        <v>800</v>
      </c>
      <c r="I99" s="49">
        <v>860</v>
      </c>
      <c r="J99" s="49">
        <v>595.35</v>
      </c>
      <c r="K99" s="49">
        <v>679.15</v>
      </c>
      <c r="L99" s="49">
        <v>885</v>
      </c>
      <c r="M99" s="52">
        <v>686.7</v>
      </c>
      <c r="N99" s="49">
        <v>-198.3</v>
      </c>
      <c r="O99" s="49">
        <v>-22.41</v>
      </c>
      <c r="P99" s="53">
        <v>1156</v>
      </c>
      <c r="Q99" s="49">
        <v>533.37</v>
      </c>
      <c r="R99" s="56"/>
    </row>
    <row r="100" spans="3:18" ht="42" thickBot="1">
      <c r="C100" s="49"/>
      <c r="D100" s="49" t="s">
        <v>0</v>
      </c>
      <c r="E100" s="50">
        <v>46125</v>
      </c>
      <c r="F100" s="49" t="s">
        <v>20</v>
      </c>
      <c r="G100" s="51">
        <v>23200</v>
      </c>
      <c r="H100" s="49">
        <v>35</v>
      </c>
      <c r="I100" s="49">
        <v>62</v>
      </c>
      <c r="J100" s="49">
        <v>26.2</v>
      </c>
      <c r="K100" s="49">
        <v>36.15</v>
      </c>
      <c r="L100" s="49">
        <v>35.450000000000003</v>
      </c>
      <c r="M100" s="52">
        <v>35</v>
      </c>
      <c r="N100" s="49">
        <v>-0.45</v>
      </c>
      <c r="O100" s="49">
        <v>-1.27</v>
      </c>
      <c r="P100" s="53">
        <v>575966</v>
      </c>
      <c r="Q100" s="51">
        <v>14754.23</v>
      </c>
      <c r="R100" s="56"/>
    </row>
    <row r="101" spans="3:18" ht="42" thickBot="1">
      <c r="C101" s="49"/>
      <c r="D101" s="49" t="s">
        <v>0</v>
      </c>
      <c r="E101" s="50">
        <v>46125</v>
      </c>
      <c r="F101" s="49" t="s">
        <v>1</v>
      </c>
      <c r="G101" s="51">
        <v>23200</v>
      </c>
      <c r="H101" s="49">
        <v>760</v>
      </c>
      <c r="I101" s="49">
        <v>815.3</v>
      </c>
      <c r="J101" s="49">
        <v>553</v>
      </c>
      <c r="K101" s="49">
        <v>639.35</v>
      </c>
      <c r="L101" s="49">
        <v>839.9</v>
      </c>
      <c r="M101" s="52">
        <v>644.95000000000005</v>
      </c>
      <c r="N101" s="49">
        <v>-194.95</v>
      </c>
      <c r="O101" s="49">
        <v>-23.21</v>
      </c>
      <c r="P101" s="53">
        <v>9922</v>
      </c>
      <c r="Q101" s="51">
        <v>4377.53</v>
      </c>
      <c r="R101" s="56"/>
    </row>
    <row r="102" spans="3:18" ht="42" thickBot="1">
      <c r="C102" s="49"/>
      <c r="D102" s="49" t="s">
        <v>0</v>
      </c>
      <c r="E102" s="50">
        <v>46125</v>
      </c>
      <c r="F102" s="49" t="s">
        <v>20</v>
      </c>
      <c r="G102" s="51">
        <v>23250</v>
      </c>
      <c r="H102" s="49">
        <v>39.15</v>
      </c>
      <c r="I102" s="49">
        <v>70.45</v>
      </c>
      <c r="J102" s="49">
        <v>29.8</v>
      </c>
      <c r="K102" s="49">
        <v>42.1</v>
      </c>
      <c r="L102" s="49">
        <v>39.15</v>
      </c>
      <c r="M102" s="52">
        <v>40.9</v>
      </c>
      <c r="N102" s="49">
        <v>1.75</v>
      </c>
      <c r="O102" s="49">
        <v>4.47</v>
      </c>
      <c r="P102" s="53">
        <v>259335</v>
      </c>
      <c r="Q102" s="51">
        <v>7668.15</v>
      </c>
      <c r="R102" s="56"/>
    </row>
    <row r="103" spans="3:18" ht="42" thickBot="1">
      <c r="C103" s="49"/>
      <c r="D103" s="49" t="s">
        <v>0</v>
      </c>
      <c r="E103" s="50">
        <v>46125</v>
      </c>
      <c r="F103" s="49" t="s">
        <v>1</v>
      </c>
      <c r="G103" s="51">
        <v>23250</v>
      </c>
      <c r="H103" s="49">
        <v>664.95</v>
      </c>
      <c r="I103" s="49">
        <v>765.7</v>
      </c>
      <c r="J103" s="49">
        <v>511.9</v>
      </c>
      <c r="K103" s="49">
        <v>586.15</v>
      </c>
      <c r="L103" s="49">
        <v>791.95</v>
      </c>
      <c r="M103" s="52">
        <v>597.04999999999995</v>
      </c>
      <c r="N103" s="49">
        <v>-194.9</v>
      </c>
      <c r="O103" s="49">
        <v>-24.61</v>
      </c>
      <c r="P103" s="53">
        <v>1689</v>
      </c>
      <c r="Q103" s="49">
        <v>676.88</v>
      </c>
      <c r="R103" s="56"/>
    </row>
    <row r="104" spans="3:18" ht="42" thickBot="1">
      <c r="C104" s="49"/>
      <c r="D104" s="49" t="s">
        <v>0</v>
      </c>
      <c r="E104" s="50">
        <v>46125</v>
      </c>
      <c r="F104" s="49" t="s">
        <v>20</v>
      </c>
      <c r="G104" s="51">
        <v>23300</v>
      </c>
      <c r="H104" s="49">
        <v>46</v>
      </c>
      <c r="I104" s="49">
        <v>79.900000000000006</v>
      </c>
      <c r="J104" s="49">
        <v>33.75</v>
      </c>
      <c r="K104" s="49">
        <v>48.6</v>
      </c>
      <c r="L104" s="49">
        <v>42.9</v>
      </c>
      <c r="M104" s="52">
        <v>47.55</v>
      </c>
      <c r="N104" s="49">
        <v>4.6500000000000004</v>
      </c>
      <c r="O104" s="49">
        <v>10.84</v>
      </c>
      <c r="P104" s="53">
        <v>652011</v>
      </c>
      <c r="Q104" s="51">
        <v>22576.21</v>
      </c>
      <c r="R104" s="56"/>
    </row>
    <row r="105" spans="3:18" ht="42" thickBot="1">
      <c r="C105" s="49"/>
      <c r="D105" s="49" t="s">
        <v>0</v>
      </c>
      <c r="E105" s="50">
        <v>46125</v>
      </c>
      <c r="F105" s="49" t="s">
        <v>1</v>
      </c>
      <c r="G105" s="51">
        <v>23300</v>
      </c>
      <c r="H105" s="49">
        <v>665</v>
      </c>
      <c r="I105" s="49">
        <v>721.45</v>
      </c>
      <c r="J105" s="49">
        <v>471.25</v>
      </c>
      <c r="K105" s="49">
        <v>550.35</v>
      </c>
      <c r="L105" s="49">
        <v>751.95</v>
      </c>
      <c r="M105" s="52">
        <v>560</v>
      </c>
      <c r="N105" s="49">
        <v>-191.95</v>
      </c>
      <c r="O105" s="49">
        <v>-25.53</v>
      </c>
      <c r="P105" s="53">
        <v>11401</v>
      </c>
      <c r="Q105" s="51">
        <v>4200.13</v>
      </c>
      <c r="R105" s="56"/>
    </row>
    <row r="106" spans="3:18" ht="42" thickBot="1">
      <c r="C106" s="49"/>
      <c r="D106" s="49" t="s">
        <v>0</v>
      </c>
      <c r="E106" s="50">
        <v>46125</v>
      </c>
      <c r="F106" s="49" t="s">
        <v>20</v>
      </c>
      <c r="G106" s="51">
        <v>23350</v>
      </c>
      <c r="H106" s="49">
        <v>46.3</v>
      </c>
      <c r="I106" s="49">
        <v>91</v>
      </c>
      <c r="J106" s="49">
        <v>38.5</v>
      </c>
      <c r="K106" s="49">
        <v>56.75</v>
      </c>
      <c r="L106" s="49">
        <v>47.75</v>
      </c>
      <c r="M106" s="52">
        <v>55.5</v>
      </c>
      <c r="N106" s="49">
        <v>7.75</v>
      </c>
      <c r="O106" s="49">
        <v>16.23</v>
      </c>
      <c r="P106" s="53">
        <v>298390</v>
      </c>
      <c r="Q106" s="51">
        <v>11722.55</v>
      </c>
      <c r="R106" s="56"/>
    </row>
    <row r="107" spans="3:18" ht="42" thickBot="1">
      <c r="C107" s="49"/>
      <c r="D107" s="49" t="s">
        <v>0</v>
      </c>
      <c r="E107" s="50">
        <v>46125</v>
      </c>
      <c r="F107" s="49" t="s">
        <v>1</v>
      </c>
      <c r="G107" s="51">
        <v>23350</v>
      </c>
      <c r="H107" s="49">
        <v>620</v>
      </c>
      <c r="I107" s="49">
        <v>678.05</v>
      </c>
      <c r="J107" s="49">
        <v>431.95</v>
      </c>
      <c r="K107" s="49">
        <v>508.35</v>
      </c>
      <c r="L107" s="49">
        <v>699.45</v>
      </c>
      <c r="M107" s="52">
        <v>519.20000000000005</v>
      </c>
      <c r="N107" s="49">
        <v>-180.25</v>
      </c>
      <c r="O107" s="49">
        <v>-25.77</v>
      </c>
      <c r="P107" s="53">
        <v>3124</v>
      </c>
      <c r="Q107" s="51">
        <v>1088.67</v>
      </c>
      <c r="R107" s="56"/>
    </row>
    <row r="108" spans="3:18" ht="42" thickBot="1">
      <c r="C108" s="49"/>
      <c r="D108" s="49" t="s">
        <v>0</v>
      </c>
      <c r="E108" s="50">
        <v>46125</v>
      </c>
      <c r="F108" s="49" t="s">
        <v>20</v>
      </c>
      <c r="G108" s="51">
        <v>23400</v>
      </c>
      <c r="H108" s="49">
        <v>60</v>
      </c>
      <c r="I108" s="49">
        <v>102.8</v>
      </c>
      <c r="J108" s="49">
        <v>43.85</v>
      </c>
      <c r="K108" s="49">
        <v>66.45</v>
      </c>
      <c r="L108" s="49">
        <v>52.5</v>
      </c>
      <c r="M108" s="52">
        <v>64.150000000000006</v>
      </c>
      <c r="N108" s="49">
        <v>11.65</v>
      </c>
      <c r="O108" s="49">
        <v>22.19</v>
      </c>
      <c r="P108" s="53">
        <v>718943</v>
      </c>
      <c r="Q108" s="51">
        <v>32426.85</v>
      </c>
      <c r="R108" s="56"/>
    </row>
    <row r="109" spans="3:18" ht="42" thickBot="1">
      <c r="C109" s="49"/>
      <c r="D109" s="49" t="s">
        <v>0</v>
      </c>
      <c r="E109" s="50">
        <v>46125</v>
      </c>
      <c r="F109" s="49" t="s">
        <v>1</v>
      </c>
      <c r="G109" s="51">
        <v>23400</v>
      </c>
      <c r="H109" s="49">
        <v>600</v>
      </c>
      <c r="I109" s="49">
        <v>632.29999999999995</v>
      </c>
      <c r="J109" s="49">
        <v>393.35</v>
      </c>
      <c r="K109" s="49">
        <v>468.5</v>
      </c>
      <c r="L109" s="49">
        <v>657.45</v>
      </c>
      <c r="M109" s="52">
        <v>475</v>
      </c>
      <c r="N109" s="49">
        <v>-182.45</v>
      </c>
      <c r="O109" s="49">
        <v>-27.75</v>
      </c>
      <c r="P109" s="53">
        <v>15361</v>
      </c>
      <c r="Q109" s="51">
        <v>4935.51</v>
      </c>
      <c r="R109" s="56"/>
    </row>
    <row r="110" spans="3:18" ht="42" thickBot="1">
      <c r="C110" s="49"/>
      <c r="D110" s="49" t="s">
        <v>0</v>
      </c>
      <c r="E110" s="50">
        <v>46125</v>
      </c>
      <c r="F110" s="49" t="s">
        <v>20</v>
      </c>
      <c r="G110" s="51">
        <v>23450</v>
      </c>
      <c r="H110" s="49">
        <v>65</v>
      </c>
      <c r="I110" s="49">
        <v>116.45</v>
      </c>
      <c r="J110" s="49">
        <v>49.8</v>
      </c>
      <c r="K110" s="49">
        <v>76.849999999999994</v>
      </c>
      <c r="L110" s="49">
        <v>58.45</v>
      </c>
      <c r="M110" s="52">
        <v>74.150000000000006</v>
      </c>
      <c r="N110" s="49">
        <v>15.7</v>
      </c>
      <c r="O110" s="49">
        <v>26.86</v>
      </c>
      <c r="P110" s="53">
        <v>376495</v>
      </c>
      <c r="Q110" s="51">
        <v>19421.12</v>
      </c>
      <c r="R110" s="56"/>
    </row>
    <row r="111" spans="3:18" ht="42" thickBot="1">
      <c r="C111" s="49"/>
      <c r="D111" s="49" t="s">
        <v>0</v>
      </c>
      <c r="E111" s="50">
        <v>46125</v>
      </c>
      <c r="F111" s="49" t="s">
        <v>1</v>
      </c>
      <c r="G111" s="51">
        <v>23450</v>
      </c>
      <c r="H111" s="49">
        <v>519</v>
      </c>
      <c r="I111" s="49">
        <v>589.29999999999995</v>
      </c>
      <c r="J111" s="49">
        <v>357</v>
      </c>
      <c r="K111" s="49">
        <v>431.55</v>
      </c>
      <c r="L111" s="49">
        <v>613.04999999999995</v>
      </c>
      <c r="M111" s="52">
        <v>435.35</v>
      </c>
      <c r="N111" s="49">
        <v>-177.7</v>
      </c>
      <c r="O111" s="49">
        <v>-28.99</v>
      </c>
      <c r="P111" s="53">
        <v>6619</v>
      </c>
      <c r="Q111" s="51">
        <v>1916.31</v>
      </c>
      <c r="R111" s="56"/>
    </row>
    <row r="112" spans="3:18" ht="42" thickBot="1">
      <c r="C112" s="49"/>
      <c r="D112" s="49" t="s">
        <v>0</v>
      </c>
      <c r="E112" s="50">
        <v>46125</v>
      </c>
      <c r="F112" s="49" t="s">
        <v>20</v>
      </c>
      <c r="G112" s="51">
        <v>23500</v>
      </c>
      <c r="H112" s="49">
        <v>65</v>
      </c>
      <c r="I112" s="49">
        <v>131.4</v>
      </c>
      <c r="J112" s="49">
        <v>56.65</v>
      </c>
      <c r="K112" s="49">
        <v>88.05</v>
      </c>
      <c r="L112" s="49">
        <v>65.400000000000006</v>
      </c>
      <c r="M112" s="52">
        <v>86.05</v>
      </c>
      <c r="N112" s="49">
        <v>20.65</v>
      </c>
      <c r="O112" s="49">
        <v>31.57</v>
      </c>
      <c r="P112" s="53">
        <v>1506364</v>
      </c>
      <c r="Q112" s="51">
        <v>87192.11</v>
      </c>
      <c r="R112" s="56"/>
    </row>
    <row r="113" spans="2:19" ht="42" thickBot="1">
      <c r="C113" s="49"/>
      <c r="D113" s="49" t="s">
        <v>0</v>
      </c>
      <c r="E113" s="50">
        <v>46125</v>
      </c>
      <c r="F113" s="49" t="s">
        <v>1</v>
      </c>
      <c r="G113" s="51">
        <v>23500</v>
      </c>
      <c r="H113" s="49">
        <v>522</v>
      </c>
      <c r="I113" s="49">
        <v>546.15</v>
      </c>
      <c r="J113" s="49">
        <v>322</v>
      </c>
      <c r="K113" s="49">
        <v>390.1</v>
      </c>
      <c r="L113" s="49">
        <v>571.20000000000005</v>
      </c>
      <c r="M113" s="52">
        <v>397.15</v>
      </c>
      <c r="N113" s="49">
        <v>-174.05</v>
      </c>
      <c r="O113" s="49">
        <v>-30.47</v>
      </c>
      <c r="P113" s="53">
        <v>118482</v>
      </c>
      <c r="Q113" s="51">
        <v>32083.74</v>
      </c>
      <c r="R113" s="56"/>
    </row>
    <row r="114" spans="2:19" ht="42" thickBot="1">
      <c r="C114" s="49"/>
      <c r="D114" s="49" t="s">
        <v>0</v>
      </c>
      <c r="E114" s="50">
        <v>46125</v>
      </c>
      <c r="F114" s="49" t="s">
        <v>20</v>
      </c>
      <c r="G114" s="51">
        <v>23550</v>
      </c>
      <c r="H114" s="49">
        <v>83.6</v>
      </c>
      <c r="I114" s="49">
        <v>148</v>
      </c>
      <c r="J114" s="49">
        <v>64.900000000000006</v>
      </c>
      <c r="K114" s="49">
        <v>100.5</v>
      </c>
      <c r="L114" s="49">
        <v>73.5</v>
      </c>
      <c r="M114" s="52">
        <v>99.05</v>
      </c>
      <c r="N114" s="49">
        <v>25.55</v>
      </c>
      <c r="O114" s="49">
        <v>34.76</v>
      </c>
      <c r="P114" s="53">
        <v>483631</v>
      </c>
      <c r="Q114" s="51">
        <v>31976.71</v>
      </c>
      <c r="R114" s="56"/>
    </row>
    <row r="115" spans="2:19" ht="42" thickBot="1">
      <c r="C115" s="49"/>
      <c r="D115" s="49" t="s">
        <v>0</v>
      </c>
      <c r="E115" s="50">
        <v>46125</v>
      </c>
      <c r="F115" s="49" t="s">
        <v>1</v>
      </c>
      <c r="G115" s="51">
        <v>23550</v>
      </c>
      <c r="H115" s="49">
        <v>442.25</v>
      </c>
      <c r="I115" s="49">
        <v>503.8</v>
      </c>
      <c r="J115" s="49">
        <v>288.89999999999998</v>
      </c>
      <c r="K115" s="49">
        <v>353.55</v>
      </c>
      <c r="L115" s="49">
        <v>527.65</v>
      </c>
      <c r="M115" s="52">
        <v>359.3</v>
      </c>
      <c r="N115" s="49">
        <v>-168.35</v>
      </c>
      <c r="O115" s="49">
        <v>-31.91</v>
      </c>
      <c r="P115" s="53">
        <v>22172</v>
      </c>
      <c r="Q115" s="51">
        <v>5248.63</v>
      </c>
      <c r="R115" s="56"/>
    </row>
    <row r="116" spans="2:19" ht="42" thickBot="1">
      <c r="C116" s="49"/>
      <c r="D116" s="49" t="s">
        <v>0</v>
      </c>
      <c r="E116" s="50">
        <v>46125</v>
      </c>
      <c r="F116" s="49" t="s">
        <v>20</v>
      </c>
      <c r="G116" s="51">
        <v>23600</v>
      </c>
      <c r="H116" s="49">
        <v>81.75</v>
      </c>
      <c r="I116" s="49">
        <v>166.45</v>
      </c>
      <c r="J116" s="49">
        <v>74</v>
      </c>
      <c r="K116" s="49">
        <v>115.9</v>
      </c>
      <c r="L116" s="49">
        <v>81.75</v>
      </c>
      <c r="M116" s="52">
        <v>112.8</v>
      </c>
      <c r="N116" s="49">
        <v>31.05</v>
      </c>
      <c r="O116" s="49">
        <v>37.979999999999997</v>
      </c>
      <c r="P116" s="53">
        <v>907817</v>
      </c>
      <c r="Q116" s="51">
        <v>68236.97</v>
      </c>
      <c r="R116" s="56"/>
    </row>
    <row r="117" spans="2:19" ht="42" thickBot="1">
      <c r="C117" s="49"/>
      <c r="D117" s="49" t="s">
        <v>0</v>
      </c>
      <c r="E117" s="50">
        <v>46125</v>
      </c>
      <c r="F117" s="49" t="s">
        <v>1</v>
      </c>
      <c r="G117" s="51">
        <v>23600</v>
      </c>
      <c r="H117" s="49">
        <v>450</v>
      </c>
      <c r="I117" s="49">
        <v>465</v>
      </c>
      <c r="J117" s="49">
        <v>257.7</v>
      </c>
      <c r="K117" s="49">
        <v>317.75</v>
      </c>
      <c r="L117" s="49">
        <v>487.45</v>
      </c>
      <c r="M117" s="52">
        <v>324.10000000000002</v>
      </c>
      <c r="N117" s="49">
        <v>-163.35</v>
      </c>
      <c r="O117" s="49">
        <v>-33.51</v>
      </c>
      <c r="P117" s="53">
        <v>128419</v>
      </c>
      <c r="Q117" s="51">
        <v>27662.74</v>
      </c>
      <c r="R117" s="56"/>
    </row>
    <row r="118" spans="2:19" ht="42" thickBot="1">
      <c r="C118" s="49"/>
      <c r="D118" s="49" t="s">
        <v>0</v>
      </c>
      <c r="E118" s="50">
        <v>46125</v>
      </c>
      <c r="F118" s="49" t="s">
        <v>20</v>
      </c>
      <c r="G118" s="51">
        <v>23650</v>
      </c>
      <c r="H118" s="49">
        <v>100.05</v>
      </c>
      <c r="I118" s="49">
        <v>187.2</v>
      </c>
      <c r="J118" s="49">
        <v>84.45</v>
      </c>
      <c r="K118" s="49">
        <v>132.44999999999999</v>
      </c>
      <c r="L118" s="49">
        <v>92.95</v>
      </c>
      <c r="M118" s="52">
        <v>130.19999999999999</v>
      </c>
      <c r="N118" s="49">
        <v>37.25</v>
      </c>
      <c r="O118" s="49">
        <v>40.08</v>
      </c>
      <c r="P118" s="53">
        <v>554832</v>
      </c>
      <c r="Q118" s="51">
        <v>48012.11</v>
      </c>
      <c r="R118" s="56"/>
    </row>
    <row r="119" spans="2:19" ht="42" thickBot="1">
      <c r="B119" s="31"/>
      <c r="C119" s="49"/>
      <c r="D119" s="49" t="s">
        <v>0</v>
      </c>
      <c r="E119" s="50">
        <v>46125</v>
      </c>
      <c r="F119" s="49" t="s">
        <v>1</v>
      </c>
      <c r="G119" s="51">
        <v>23650</v>
      </c>
      <c r="H119" s="49">
        <v>457.6</v>
      </c>
      <c r="I119" s="49">
        <v>457.6</v>
      </c>
      <c r="J119" s="49">
        <v>228</v>
      </c>
      <c r="K119" s="49">
        <v>284.25</v>
      </c>
      <c r="L119" s="49">
        <v>447.9</v>
      </c>
      <c r="M119" s="52">
        <v>291</v>
      </c>
      <c r="N119" s="49">
        <v>-156.9</v>
      </c>
      <c r="O119" s="49">
        <v>-35.03</v>
      </c>
      <c r="P119" s="53">
        <v>91419</v>
      </c>
      <c r="Q119" s="51">
        <v>17282.990000000002</v>
      </c>
      <c r="R119" s="56"/>
      <c r="S119" s="31"/>
    </row>
    <row r="120" spans="2:19" ht="42" thickBot="1">
      <c r="C120" s="49"/>
      <c r="D120" s="49" t="s">
        <v>0</v>
      </c>
      <c r="E120" s="50">
        <v>46125</v>
      </c>
      <c r="F120" s="49" t="s">
        <v>20</v>
      </c>
      <c r="G120" s="51">
        <v>23700</v>
      </c>
      <c r="H120" s="49">
        <v>113.35</v>
      </c>
      <c r="I120" s="49">
        <v>209.7</v>
      </c>
      <c r="J120" s="49">
        <v>96.5</v>
      </c>
      <c r="K120" s="49">
        <v>151.4</v>
      </c>
      <c r="L120" s="49">
        <v>103.8</v>
      </c>
      <c r="M120" s="52">
        <v>148</v>
      </c>
      <c r="N120" s="49">
        <v>44.2</v>
      </c>
      <c r="O120" s="49">
        <v>42.58</v>
      </c>
      <c r="P120" s="53">
        <v>1366405</v>
      </c>
      <c r="Q120" s="51">
        <v>135524.82999999999</v>
      </c>
      <c r="R120" s="56"/>
    </row>
    <row r="121" spans="2:19" ht="42" thickBot="1">
      <c r="C121" s="49"/>
      <c r="D121" s="49" t="s">
        <v>0</v>
      </c>
      <c r="E121" s="50">
        <v>46125</v>
      </c>
      <c r="F121" s="49" t="s">
        <v>1</v>
      </c>
      <c r="G121" s="51">
        <v>23700</v>
      </c>
      <c r="H121" s="49">
        <v>357.9</v>
      </c>
      <c r="I121" s="49">
        <v>387.4</v>
      </c>
      <c r="J121" s="49">
        <v>200.3</v>
      </c>
      <c r="K121" s="49">
        <v>252</v>
      </c>
      <c r="L121" s="49">
        <v>409.85</v>
      </c>
      <c r="M121" s="52">
        <v>258.85000000000002</v>
      </c>
      <c r="N121" s="49">
        <v>-151</v>
      </c>
      <c r="O121" s="49">
        <v>-36.840000000000003</v>
      </c>
      <c r="P121" s="53">
        <v>552391</v>
      </c>
      <c r="Q121" s="51">
        <v>93404.35</v>
      </c>
      <c r="R121" s="56"/>
    </row>
    <row r="122" spans="2:19" ht="42" thickBot="1">
      <c r="C122" s="49"/>
      <c r="D122" s="49" t="s">
        <v>0</v>
      </c>
      <c r="E122" s="50">
        <v>46125</v>
      </c>
      <c r="F122" s="49" t="s">
        <v>20</v>
      </c>
      <c r="G122" s="51">
        <v>23750</v>
      </c>
      <c r="H122" s="49">
        <v>124</v>
      </c>
      <c r="I122" s="49">
        <v>235</v>
      </c>
      <c r="J122" s="49">
        <v>110</v>
      </c>
      <c r="K122" s="49">
        <v>171.05</v>
      </c>
      <c r="L122" s="49">
        <v>116.9</v>
      </c>
      <c r="M122" s="52">
        <v>167.1</v>
      </c>
      <c r="N122" s="49">
        <v>50.2</v>
      </c>
      <c r="O122" s="49">
        <v>42.94</v>
      </c>
      <c r="P122" s="53">
        <v>1070285</v>
      </c>
      <c r="Q122" s="51">
        <v>121021.41</v>
      </c>
      <c r="R122" s="56"/>
    </row>
    <row r="123" spans="2:19" ht="42" thickBot="1">
      <c r="C123" s="49"/>
      <c r="D123" s="49" t="s">
        <v>0</v>
      </c>
      <c r="E123" s="50">
        <v>46125</v>
      </c>
      <c r="F123" s="49" t="s">
        <v>1</v>
      </c>
      <c r="G123" s="51">
        <v>23750</v>
      </c>
      <c r="H123" s="49">
        <v>327</v>
      </c>
      <c r="I123" s="49">
        <v>351</v>
      </c>
      <c r="J123" s="49">
        <v>174.8</v>
      </c>
      <c r="K123" s="49">
        <v>222.5</v>
      </c>
      <c r="L123" s="49">
        <v>371.35</v>
      </c>
      <c r="M123" s="52">
        <v>228.3</v>
      </c>
      <c r="N123" s="49">
        <v>-143.05000000000001</v>
      </c>
      <c r="O123" s="49">
        <v>-38.520000000000003</v>
      </c>
      <c r="P123" s="53">
        <v>541074</v>
      </c>
      <c r="Q123" s="51">
        <v>80668.990000000005</v>
      </c>
      <c r="R123" s="56"/>
    </row>
    <row r="124" spans="2:19" ht="42" thickBot="1">
      <c r="C124" s="49"/>
      <c r="D124" s="49" t="s">
        <v>0</v>
      </c>
      <c r="E124" s="50">
        <v>46125</v>
      </c>
      <c r="F124" s="49" t="s">
        <v>20</v>
      </c>
      <c r="G124" s="51">
        <v>23800</v>
      </c>
      <c r="H124" s="49">
        <v>147.69999999999999</v>
      </c>
      <c r="I124" s="49">
        <v>260.89999999999998</v>
      </c>
      <c r="J124" s="49">
        <v>125</v>
      </c>
      <c r="K124" s="49">
        <v>192.05</v>
      </c>
      <c r="L124" s="49">
        <v>131.19999999999999</v>
      </c>
      <c r="M124" s="52">
        <v>190.7</v>
      </c>
      <c r="N124" s="49">
        <v>59.5</v>
      </c>
      <c r="O124" s="49">
        <v>45.35</v>
      </c>
      <c r="P124" s="53">
        <v>2494322</v>
      </c>
      <c r="Q124" s="51">
        <v>306816.57</v>
      </c>
      <c r="R124" s="56"/>
    </row>
    <row r="125" spans="2:19" ht="42" thickBot="1">
      <c r="C125" s="49"/>
      <c r="D125" s="49" t="s">
        <v>0</v>
      </c>
      <c r="E125" s="50">
        <v>46125</v>
      </c>
      <c r="F125" s="49" t="s">
        <v>1</v>
      </c>
      <c r="G125" s="51">
        <v>23800</v>
      </c>
      <c r="H125" s="49">
        <v>340.9</v>
      </c>
      <c r="I125" s="49">
        <v>340.9</v>
      </c>
      <c r="J125" s="49">
        <v>151.5</v>
      </c>
      <c r="K125" s="49">
        <v>196.45</v>
      </c>
      <c r="L125" s="49">
        <v>337.55</v>
      </c>
      <c r="M125" s="52">
        <v>200.9</v>
      </c>
      <c r="N125" s="49">
        <v>-136.65</v>
      </c>
      <c r="O125" s="49">
        <v>-40.479999999999997</v>
      </c>
      <c r="P125" s="53">
        <v>1753925</v>
      </c>
      <c r="Q125" s="51">
        <v>246536.08</v>
      </c>
      <c r="R125" s="56"/>
    </row>
    <row r="126" spans="2:19" ht="42" thickBot="1">
      <c r="C126" s="49"/>
      <c r="D126" s="49" t="s">
        <v>0</v>
      </c>
      <c r="E126" s="50">
        <v>46125</v>
      </c>
      <c r="F126" s="49" t="s">
        <v>20</v>
      </c>
      <c r="G126" s="51">
        <v>23850</v>
      </c>
      <c r="H126" s="49">
        <v>169.65</v>
      </c>
      <c r="I126" s="49">
        <v>289.10000000000002</v>
      </c>
      <c r="J126" s="49">
        <v>142.5</v>
      </c>
      <c r="K126" s="49">
        <v>215.65</v>
      </c>
      <c r="L126" s="49">
        <v>148.1</v>
      </c>
      <c r="M126" s="52">
        <v>214.1</v>
      </c>
      <c r="N126" s="49">
        <v>66</v>
      </c>
      <c r="O126" s="49">
        <v>44.56</v>
      </c>
      <c r="P126" s="53">
        <v>1294278</v>
      </c>
      <c r="Q126" s="51">
        <v>171806.34</v>
      </c>
      <c r="R126" s="56"/>
    </row>
    <row r="127" spans="2:19" s="61" customFormat="1" ht="42" thickBot="1">
      <c r="C127" s="58"/>
      <c r="D127" s="58" t="s">
        <v>0</v>
      </c>
      <c r="E127" s="59">
        <v>46125</v>
      </c>
      <c r="F127" s="58" t="s">
        <v>1</v>
      </c>
      <c r="G127" s="60">
        <v>23850</v>
      </c>
      <c r="H127" s="58">
        <v>245.2</v>
      </c>
      <c r="I127" s="58">
        <v>284</v>
      </c>
      <c r="J127" s="58">
        <v>130</v>
      </c>
      <c r="K127" s="58">
        <v>170.95</v>
      </c>
      <c r="L127" s="58">
        <v>303.89999999999998</v>
      </c>
      <c r="M127" s="64">
        <v>175.15</v>
      </c>
      <c r="N127" s="58">
        <v>-128.75</v>
      </c>
      <c r="O127" s="58">
        <v>-42.37</v>
      </c>
      <c r="P127" s="65">
        <v>1137370</v>
      </c>
      <c r="Q127" s="60">
        <v>147030.09</v>
      </c>
      <c r="R127" s="66"/>
    </row>
    <row r="128" spans="2:19" ht="42" thickBot="1">
      <c r="C128" s="49"/>
      <c r="D128" s="49" t="s">
        <v>0</v>
      </c>
      <c r="E128" s="50">
        <v>46125</v>
      </c>
      <c r="F128" s="49" t="s">
        <v>1</v>
      </c>
      <c r="G128" s="51">
        <v>23900</v>
      </c>
      <c r="H128" s="49">
        <v>250</v>
      </c>
      <c r="I128" s="49">
        <v>253</v>
      </c>
      <c r="J128" s="49">
        <v>111.2</v>
      </c>
      <c r="K128" s="49">
        <v>147.30000000000001</v>
      </c>
      <c r="L128" s="49">
        <v>271.75</v>
      </c>
      <c r="M128" s="52">
        <v>151.30000000000001</v>
      </c>
      <c r="N128" s="49">
        <v>-120.45</v>
      </c>
      <c r="O128" s="49">
        <v>-44.32</v>
      </c>
      <c r="P128" s="53">
        <v>1920552</v>
      </c>
      <c r="Q128" s="51">
        <v>222981.85</v>
      </c>
      <c r="R128" s="56"/>
    </row>
    <row r="129" spans="3:18" ht="42" thickBot="1">
      <c r="C129" s="49"/>
      <c r="D129" s="49" t="s">
        <v>0</v>
      </c>
      <c r="E129" s="50">
        <v>46125</v>
      </c>
      <c r="F129" s="49" t="s">
        <v>20</v>
      </c>
      <c r="G129" s="51">
        <v>23900</v>
      </c>
      <c r="H129" s="49">
        <v>196</v>
      </c>
      <c r="I129" s="49">
        <v>319.7</v>
      </c>
      <c r="J129" s="49">
        <v>161.35</v>
      </c>
      <c r="K129" s="49">
        <v>242.3</v>
      </c>
      <c r="L129" s="49">
        <v>166.45</v>
      </c>
      <c r="M129" s="52">
        <v>239.1</v>
      </c>
      <c r="N129" s="49">
        <v>72.650000000000006</v>
      </c>
      <c r="O129" s="49">
        <v>43.65</v>
      </c>
      <c r="P129" s="53">
        <v>1750333</v>
      </c>
      <c r="Q129" s="51">
        <v>254711.96</v>
      </c>
      <c r="R129" s="56"/>
    </row>
    <row r="130" spans="3:18" ht="42" thickBot="1">
      <c r="C130" s="49"/>
      <c r="D130" s="49" t="s">
        <v>0</v>
      </c>
      <c r="E130" s="50">
        <v>46125</v>
      </c>
      <c r="F130" s="49" t="s">
        <v>1</v>
      </c>
      <c r="G130" s="51">
        <v>23950</v>
      </c>
      <c r="H130" s="49">
        <v>240.05</v>
      </c>
      <c r="I130" s="49">
        <v>240.05</v>
      </c>
      <c r="J130" s="49">
        <v>94</v>
      </c>
      <c r="K130" s="49">
        <v>125.4</v>
      </c>
      <c r="L130" s="49">
        <v>242.45</v>
      </c>
      <c r="M130" s="52">
        <v>129.05000000000001</v>
      </c>
      <c r="N130" s="49">
        <v>-113.4</v>
      </c>
      <c r="O130" s="49">
        <v>-46.77</v>
      </c>
      <c r="P130" s="53">
        <v>869430</v>
      </c>
      <c r="Q130" s="51">
        <v>90036.43</v>
      </c>
      <c r="R130" s="56"/>
    </row>
    <row r="131" spans="3:18" ht="42" thickBot="1">
      <c r="C131" s="49"/>
      <c r="D131" s="49" t="s">
        <v>0</v>
      </c>
      <c r="E131" s="50">
        <v>46125</v>
      </c>
      <c r="F131" s="49" t="s">
        <v>20</v>
      </c>
      <c r="G131" s="51">
        <v>23950</v>
      </c>
      <c r="H131" s="49">
        <v>215</v>
      </c>
      <c r="I131" s="49">
        <v>354.85</v>
      </c>
      <c r="J131" s="49">
        <v>182.4</v>
      </c>
      <c r="K131" s="49">
        <v>271.45</v>
      </c>
      <c r="L131" s="49">
        <v>187.95</v>
      </c>
      <c r="M131" s="52">
        <v>269.10000000000002</v>
      </c>
      <c r="N131" s="49">
        <v>81.150000000000006</v>
      </c>
      <c r="O131" s="49">
        <v>43.18</v>
      </c>
      <c r="P131" s="53">
        <v>534125</v>
      </c>
      <c r="Q131" s="51">
        <v>84042.17</v>
      </c>
      <c r="R131" s="56"/>
    </row>
    <row r="132" spans="3:18" ht="42" thickBot="1">
      <c r="C132" s="49"/>
      <c r="D132" s="49" t="s">
        <v>0</v>
      </c>
      <c r="E132" s="50">
        <v>46125</v>
      </c>
      <c r="F132" s="49" t="s">
        <v>1</v>
      </c>
      <c r="G132" s="51">
        <v>24000</v>
      </c>
      <c r="H132" s="49">
        <v>190.5</v>
      </c>
      <c r="I132" s="49">
        <v>197</v>
      </c>
      <c r="J132" s="49">
        <v>79.75</v>
      </c>
      <c r="K132" s="49">
        <v>106.75</v>
      </c>
      <c r="L132" s="49">
        <v>215.25</v>
      </c>
      <c r="M132" s="52">
        <v>109.8</v>
      </c>
      <c r="N132" s="49">
        <v>-105.45</v>
      </c>
      <c r="O132" s="49">
        <v>-48.99</v>
      </c>
      <c r="P132" s="53">
        <v>2273866</v>
      </c>
      <c r="Q132" s="51">
        <v>195836.71</v>
      </c>
      <c r="R132" s="56"/>
    </row>
    <row r="133" spans="3:18" ht="42" thickBot="1">
      <c r="C133" s="49"/>
      <c r="D133" s="49" t="s">
        <v>0</v>
      </c>
      <c r="E133" s="50">
        <v>46125</v>
      </c>
      <c r="F133" s="49" t="s">
        <v>20</v>
      </c>
      <c r="G133" s="51">
        <v>24000</v>
      </c>
      <c r="H133" s="49">
        <v>180.4</v>
      </c>
      <c r="I133" s="49">
        <v>386.95</v>
      </c>
      <c r="J133" s="49">
        <v>180.4</v>
      </c>
      <c r="K133" s="49">
        <v>302.45</v>
      </c>
      <c r="L133" s="49">
        <v>209.3</v>
      </c>
      <c r="M133" s="52">
        <v>298.75</v>
      </c>
      <c r="N133" s="49">
        <v>89.45</v>
      </c>
      <c r="O133" s="49">
        <v>42.74</v>
      </c>
      <c r="P133" s="53">
        <v>1010313</v>
      </c>
      <c r="Q133" s="51">
        <v>182675.20000000001</v>
      </c>
      <c r="R133" s="56"/>
    </row>
    <row r="134" spans="3:18" ht="42" thickBot="1">
      <c r="C134" s="49"/>
      <c r="D134" s="49" t="s">
        <v>0</v>
      </c>
      <c r="E134" s="50">
        <v>46125</v>
      </c>
      <c r="F134" s="49" t="s">
        <v>1</v>
      </c>
      <c r="G134" s="51">
        <v>24050</v>
      </c>
      <c r="H134" s="49">
        <v>171</v>
      </c>
      <c r="I134" s="49">
        <v>172.3</v>
      </c>
      <c r="J134" s="49">
        <v>66.599999999999994</v>
      </c>
      <c r="K134" s="49">
        <v>90.25</v>
      </c>
      <c r="L134" s="49">
        <v>190.1</v>
      </c>
      <c r="M134" s="52">
        <v>93.25</v>
      </c>
      <c r="N134" s="49">
        <v>-96.85</v>
      </c>
      <c r="O134" s="49">
        <v>-50.95</v>
      </c>
      <c r="P134" s="53">
        <v>541944</v>
      </c>
      <c r="Q134" s="51">
        <v>40179.19</v>
      </c>
      <c r="R134" s="56"/>
    </row>
    <row r="135" spans="3:18" ht="42" thickBot="1">
      <c r="C135" s="49"/>
      <c r="D135" s="49" t="s">
        <v>0</v>
      </c>
      <c r="E135" s="50">
        <v>46125</v>
      </c>
      <c r="F135" s="49" t="s">
        <v>20</v>
      </c>
      <c r="G135" s="51">
        <v>24050</v>
      </c>
      <c r="H135" s="49">
        <v>275</v>
      </c>
      <c r="I135" s="49">
        <v>426.85</v>
      </c>
      <c r="J135" s="49">
        <v>231.45</v>
      </c>
      <c r="K135" s="49">
        <v>336.75</v>
      </c>
      <c r="L135" s="49">
        <v>233.65</v>
      </c>
      <c r="M135" s="52">
        <v>331.6</v>
      </c>
      <c r="N135" s="49">
        <v>97.95</v>
      </c>
      <c r="O135" s="49">
        <v>41.92</v>
      </c>
      <c r="P135" s="53">
        <v>100051</v>
      </c>
      <c r="Q135" s="51">
        <v>19832.509999999998</v>
      </c>
      <c r="R135" s="56"/>
    </row>
    <row r="136" spans="3:18" ht="42" thickBot="1">
      <c r="C136" s="49"/>
      <c r="D136" s="49" t="s">
        <v>0</v>
      </c>
      <c r="E136" s="50">
        <v>46125</v>
      </c>
      <c r="F136" s="49" t="s">
        <v>1</v>
      </c>
      <c r="G136" s="51">
        <v>24100</v>
      </c>
      <c r="H136" s="49">
        <v>133</v>
      </c>
      <c r="I136" s="49">
        <v>149.65</v>
      </c>
      <c r="J136" s="49">
        <v>55.5</v>
      </c>
      <c r="K136" s="49">
        <v>75.599999999999994</v>
      </c>
      <c r="L136" s="49">
        <v>166.65</v>
      </c>
      <c r="M136" s="52">
        <v>78</v>
      </c>
      <c r="N136" s="49">
        <v>-88.65</v>
      </c>
      <c r="O136" s="49">
        <v>-53.2</v>
      </c>
      <c r="P136" s="53">
        <v>953753</v>
      </c>
      <c r="Q136" s="51">
        <v>59979.14</v>
      </c>
      <c r="R136" s="56"/>
    </row>
    <row r="137" spans="3:18" ht="42" thickBot="1">
      <c r="C137" s="49"/>
      <c r="D137" s="49" t="s">
        <v>0</v>
      </c>
      <c r="E137" s="50">
        <v>46125</v>
      </c>
      <c r="F137" s="49" t="s">
        <v>20</v>
      </c>
      <c r="G137" s="51">
        <v>24100</v>
      </c>
      <c r="H137" s="49">
        <v>298</v>
      </c>
      <c r="I137" s="49">
        <v>464.75</v>
      </c>
      <c r="J137" s="49">
        <v>258.75</v>
      </c>
      <c r="K137" s="49">
        <v>371.8</v>
      </c>
      <c r="L137" s="49">
        <v>260.75</v>
      </c>
      <c r="M137" s="52">
        <v>365.8</v>
      </c>
      <c r="N137" s="49">
        <v>105.05</v>
      </c>
      <c r="O137" s="49">
        <v>40.29</v>
      </c>
      <c r="P137" s="53">
        <v>152627</v>
      </c>
      <c r="Q137" s="51">
        <v>33760.33</v>
      </c>
      <c r="R137" s="56"/>
    </row>
    <row r="138" spans="3:18" ht="42" thickBot="1">
      <c r="C138" s="49"/>
      <c r="D138" s="49" t="s">
        <v>0</v>
      </c>
      <c r="E138" s="50">
        <v>46125</v>
      </c>
      <c r="F138" s="49" t="s">
        <v>1</v>
      </c>
      <c r="G138" s="51">
        <v>24150</v>
      </c>
      <c r="H138" s="49">
        <v>121.95</v>
      </c>
      <c r="I138" s="49">
        <v>129.15</v>
      </c>
      <c r="J138" s="49">
        <v>46.35</v>
      </c>
      <c r="K138" s="49">
        <v>63.45</v>
      </c>
      <c r="L138" s="49">
        <v>145.05000000000001</v>
      </c>
      <c r="M138" s="52">
        <v>65.599999999999994</v>
      </c>
      <c r="N138" s="49">
        <v>-79.45</v>
      </c>
      <c r="O138" s="49">
        <v>-54.77</v>
      </c>
      <c r="P138" s="53">
        <v>498468</v>
      </c>
      <c r="Q138" s="51">
        <v>26756.27</v>
      </c>
      <c r="R138" s="56"/>
    </row>
    <row r="139" spans="3:18" ht="42" thickBot="1">
      <c r="C139" s="49"/>
      <c r="D139" s="49" t="s">
        <v>0</v>
      </c>
      <c r="E139" s="50">
        <v>46125</v>
      </c>
      <c r="F139" s="49" t="s">
        <v>20</v>
      </c>
      <c r="G139" s="51">
        <v>24150</v>
      </c>
      <c r="H139" s="49">
        <v>323</v>
      </c>
      <c r="I139" s="49">
        <v>504.25</v>
      </c>
      <c r="J139" s="49">
        <v>285.7</v>
      </c>
      <c r="K139" s="49">
        <v>407.75</v>
      </c>
      <c r="L139" s="49">
        <v>289.5</v>
      </c>
      <c r="M139" s="52">
        <v>405.6</v>
      </c>
      <c r="N139" s="49">
        <v>116.1</v>
      </c>
      <c r="O139" s="49">
        <v>40.1</v>
      </c>
      <c r="P139" s="53">
        <v>29240</v>
      </c>
      <c r="Q139" s="51">
        <v>6997.06</v>
      </c>
      <c r="R139" s="56"/>
    </row>
    <row r="140" spans="3:18" ht="42" thickBot="1">
      <c r="C140" s="49"/>
      <c r="D140" s="49" t="s">
        <v>0</v>
      </c>
      <c r="E140" s="50">
        <v>46125</v>
      </c>
      <c r="F140" s="49" t="s">
        <v>1</v>
      </c>
      <c r="G140" s="51">
        <v>24200</v>
      </c>
      <c r="H140" s="49">
        <v>115</v>
      </c>
      <c r="I140" s="49">
        <v>115</v>
      </c>
      <c r="J140" s="49">
        <v>38.549999999999997</v>
      </c>
      <c r="K140" s="49">
        <v>51.75</v>
      </c>
      <c r="L140" s="49">
        <v>126.25</v>
      </c>
      <c r="M140" s="52">
        <v>53.55</v>
      </c>
      <c r="N140" s="49">
        <v>-72.7</v>
      </c>
      <c r="O140" s="49">
        <v>-57.58</v>
      </c>
      <c r="P140" s="53">
        <v>1139610</v>
      </c>
      <c r="Q140" s="51">
        <v>50681.88</v>
      </c>
      <c r="R140" s="56"/>
    </row>
    <row r="141" spans="3:18" ht="42" thickBot="1">
      <c r="C141" s="49"/>
      <c r="D141" s="49" t="s">
        <v>0</v>
      </c>
      <c r="E141" s="50">
        <v>46125</v>
      </c>
      <c r="F141" s="49" t="s">
        <v>20</v>
      </c>
      <c r="G141" s="51">
        <v>24200</v>
      </c>
      <c r="H141" s="49">
        <v>354.6</v>
      </c>
      <c r="I141" s="49">
        <v>546.25</v>
      </c>
      <c r="J141" s="49">
        <v>320.39999999999998</v>
      </c>
      <c r="K141" s="49">
        <v>447.4</v>
      </c>
      <c r="L141" s="49">
        <v>319.3</v>
      </c>
      <c r="M141" s="52">
        <v>441</v>
      </c>
      <c r="N141" s="49">
        <v>121.7</v>
      </c>
      <c r="O141" s="49">
        <v>38.11</v>
      </c>
      <c r="P141" s="53">
        <v>80578</v>
      </c>
      <c r="Q141" s="51">
        <v>21637.45</v>
      </c>
      <c r="R141" s="56"/>
    </row>
    <row r="142" spans="3:18" ht="42" thickBot="1">
      <c r="C142" s="49"/>
      <c r="D142" s="49" t="s">
        <v>0</v>
      </c>
      <c r="E142" s="50">
        <v>46125</v>
      </c>
      <c r="F142" s="49" t="s">
        <v>1</v>
      </c>
      <c r="G142" s="51">
        <v>24250</v>
      </c>
      <c r="H142" s="49">
        <v>89</v>
      </c>
      <c r="I142" s="49">
        <v>94.4</v>
      </c>
      <c r="J142" s="49">
        <v>32.25</v>
      </c>
      <c r="K142" s="49">
        <v>43.3</v>
      </c>
      <c r="L142" s="49">
        <v>108.6</v>
      </c>
      <c r="M142" s="52">
        <v>44.25</v>
      </c>
      <c r="N142" s="49">
        <v>-64.349999999999994</v>
      </c>
      <c r="O142" s="49">
        <v>-59.25</v>
      </c>
      <c r="P142" s="53">
        <v>391780</v>
      </c>
      <c r="Q142" s="51">
        <v>14953.46</v>
      </c>
      <c r="R142" s="56"/>
    </row>
    <row r="143" spans="3:18" ht="42" thickBot="1">
      <c r="C143" s="49"/>
      <c r="D143" s="49" t="s">
        <v>0</v>
      </c>
      <c r="E143" s="50">
        <v>46125</v>
      </c>
      <c r="F143" s="49" t="s">
        <v>20</v>
      </c>
      <c r="G143" s="51">
        <v>24250</v>
      </c>
      <c r="H143" s="49">
        <v>409</v>
      </c>
      <c r="I143" s="49">
        <v>595.20000000000005</v>
      </c>
      <c r="J143" s="49">
        <v>354</v>
      </c>
      <c r="K143" s="49">
        <v>488.95</v>
      </c>
      <c r="L143" s="49">
        <v>352.1</v>
      </c>
      <c r="M143" s="52">
        <v>483.25</v>
      </c>
      <c r="N143" s="49">
        <v>131.15</v>
      </c>
      <c r="O143" s="49">
        <v>37.25</v>
      </c>
      <c r="P143" s="53">
        <v>9532</v>
      </c>
      <c r="Q143" s="51">
        <v>2783.34</v>
      </c>
      <c r="R143" s="56"/>
    </row>
    <row r="144" spans="3:18" ht="42" thickBot="1">
      <c r="C144" s="49"/>
      <c r="D144" s="49" t="s">
        <v>0</v>
      </c>
      <c r="E144" s="50">
        <v>46125</v>
      </c>
      <c r="F144" s="49" t="s">
        <v>1</v>
      </c>
      <c r="G144" s="51">
        <v>24300</v>
      </c>
      <c r="H144" s="49">
        <v>70.95</v>
      </c>
      <c r="I144" s="49">
        <v>80</v>
      </c>
      <c r="J144" s="49">
        <v>26.7</v>
      </c>
      <c r="K144" s="49">
        <v>35.9</v>
      </c>
      <c r="L144" s="49">
        <v>93.95</v>
      </c>
      <c r="M144" s="52">
        <v>36.35</v>
      </c>
      <c r="N144" s="49">
        <v>-57.6</v>
      </c>
      <c r="O144" s="49">
        <v>-61.31</v>
      </c>
      <c r="P144" s="53">
        <v>865345</v>
      </c>
      <c r="Q144" s="51">
        <v>27392.5</v>
      </c>
      <c r="R144" s="56"/>
    </row>
    <row r="145" spans="3:18" ht="42" thickBot="1">
      <c r="C145" s="49"/>
      <c r="D145" s="49" t="s">
        <v>0</v>
      </c>
      <c r="E145" s="50">
        <v>46125</v>
      </c>
      <c r="F145" s="49" t="s">
        <v>20</v>
      </c>
      <c r="G145" s="51">
        <v>24300</v>
      </c>
      <c r="H145" s="49">
        <v>448.65</v>
      </c>
      <c r="I145" s="49">
        <v>633.65</v>
      </c>
      <c r="J145" s="49">
        <v>389.8</v>
      </c>
      <c r="K145" s="49">
        <v>528.25</v>
      </c>
      <c r="L145" s="49">
        <v>386.15</v>
      </c>
      <c r="M145" s="52">
        <v>522.1</v>
      </c>
      <c r="N145" s="49">
        <v>135.94999999999999</v>
      </c>
      <c r="O145" s="49">
        <v>35.21</v>
      </c>
      <c r="P145" s="53">
        <v>25217</v>
      </c>
      <c r="Q145" s="51">
        <v>8017.35</v>
      </c>
      <c r="R145" s="56"/>
    </row>
    <row r="146" spans="3:18" ht="42" thickBot="1">
      <c r="C146" s="49"/>
      <c r="D146" s="49" t="s">
        <v>0</v>
      </c>
      <c r="E146" s="50">
        <v>46125</v>
      </c>
      <c r="F146" s="49" t="s">
        <v>1</v>
      </c>
      <c r="G146" s="51">
        <v>24350</v>
      </c>
      <c r="H146" s="49">
        <v>68</v>
      </c>
      <c r="I146" s="49">
        <v>79.2</v>
      </c>
      <c r="J146" s="49">
        <v>22.45</v>
      </c>
      <c r="K146" s="49">
        <v>29.25</v>
      </c>
      <c r="L146" s="49">
        <v>80.8</v>
      </c>
      <c r="M146" s="52">
        <v>29.7</v>
      </c>
      <c r="N146" s="49">
        <v>-51.1</v>
      </c>
      <c r="O146" s="49">
        <v>-63.24</v>
      </c>
      <c r="P146" s="53">
        <v>367622</v>
      </c>
      <c r="Q146" s="51">
        <v>9711.1</v>
      </c>
      <c r="R146" s="56"/>
    </row>
    <row r="147" spans="3:18" ht="42" thickBot="1">
      <c r="C147" s="49"/>
      <c r="D147" s="49" t="s">
        <v>0</v>
      </c>
      <c r="E147" s="50">
        <v>46125</v>
      </c>
      <c r="F147" s="49" t="s">
        <v>20</v>
      </c>
      <c r="G147" s="51">
        <v>24350</v>
      </c>
      <c r="H147" s="49">
        <v>527.79999999999995</v>
      </c>
      <c r="I147" s="49">
        <v>682.7</v>
      </c>
      <c r="J147" s="49">
        <v>428.55</v>
      </c>
      <c r="K147" s="49">
        <v>571.65</v>
      </c>
      <c r="L147" s="49">
        <v>421</v>
      </c>
      <c r="M147" s="52">
        <v>567.54999999999995</v>
      </c>
      <c r="N147" s="49">
        <v>146.55000000000001</v>
      </c>
      <c r="O147" s="49">
        <v>34.81</v>
      </c>
      <c r="P147" s="53">
        <v>2891</v>
      </c>
      <c r="Q147" s="51">
        <v>1005.78</v>
      </c>
      <c r="R147" s="56"/>
    </row>
    <row r="148" spans="3:18" ht="42" thickBot="1">
      <c r="C148" s="49"/>
      <c r="D148" s="49" t="s">
        <v>0</v>
      </c>
      <c r="E148" s="50">
        <v>46125</v>
      </c>
      <c r="F148" s="49" t="s">
        <v>1</v>
      </c>
      <c r="G148" s="51">
        <v>24400</v>
      </c>
      <c r="H148" s="49">
        <v>45.5</v>
      </c>
      <c r="I148" s="49">
        <v>56.7</v>
      </c>
      <c r="J148" s="49">
        <v>18.600000000000001</v>
      </c>
      <c r="K148" s="49">
        <v>24.2</v>
      </c>
      <c r="L148" s="49">
        <v>68.599999999999994</v>
      </c>
      <c r="M148" s="52">
        <v>24.05</v>
      </c>
      <c r="N148" s="49">
        <v>-44.55</v>
      </c>
      <c r="O148" s="49">
        <v>-64.94</v>
      </c>
      <c r="P148" s="53">
        <v>590151</v>
      </c>
      <c r="Q148" s="51">
        <v>13038.5</v>
      </c>
      <c r="R148" s="56"/>
    </row>
    <row r="149" spans="3:18" ht="42" thickBot="1">
      <c r="C149" s="49"/>
      <c r="D149" s="49" t="s">
        <v>0</v>
      </c>
      <c r="E149" s="50">
        <v>46125</v>
      </c>
      <c r="F149" s="49" t="s">
        <v>20</v>
      </c>
      <c r="G149" s="51">
        <v>24400</v>
      </c>
      <c r="H149" s="49">
        <v>499</v>
      </c>
      <c r="I149" s="49">
        <v>725.05</v>
      </c>
      <c r="J149" s="49">
        <v>467.15</v>
      </c>
      <c r="K149" s="49">
        <v>614.35</v>
      </c>
      <c r="L149" s="49">
        <v>459.3</v>
      </c>
      <c r="M149" s="52">
        <v>611.15</v>
      </c>
      <c r="N149" s="49">
        <v>151.85</v>
      </c>
      <c r="O149" s="49">
        <v>33.06</v>
      </c>
      <c r="P149" s="53">
        <v>7678</v>
      </c>
      <c r="Q149" s="51">
        <v>2870.3</v>
      </c>
      <c r="R149" s="56"/>
    </row>
    <row r="150" spans="3:18" ht="42" thickBot="1">
      <c r="C150" s="49"/>
      <c r="D150" s="49" t="s">
        <v>0</v>
      </c>
      <c r="E150" s="50">
        <v>46125</v>
      </c>
      <c r="F150" s="49" t="s">
        <v>1</v>
      </c>
      <c r="G150" s="51">
        <v>24450</v>
      </c>
      <c r="H150" s="49">
        <v>50.45</v>
      </c>
      <c r="I150" s="49">
        <v>50.45</v>
      </c>
      <c r="J150" s="49">
        <v>16</v>
      </c>
      <c r="K150" s="49">
        <v>20.45</v>
      </c>
      <c r="L150" s="49">
        <v>58.45</v>
      </c>
      <c r="M150" s="52">
        <v>19.5</v>
      </c>
      <c r="N150" s="49">
        <v>-38.950000000000003</v>
      </c>
      <c r="O150" s="49">
        <v>-66.64</v>
      </c>
      <c r="P150" s="53">
        <v>273845</v>
      </c>
      <c r="Q150" s="51">
        <v>5072.9799999999996</v>
      </c>
      <c r="R150" s="56"/>
    </row>
    <row r="151" spans="3:18" ht="42" thickBot="1">
      <c r="C151" s="49"/>
      <c r="D151" s="49" t="s">
        <v>0</v>
      </c>
      <c r="E151" s="50">
        <v>46125</v>
      </c>
      <c r="F151" s="49" t="s">
        <v>20</v>
      </c>
      <c r="G151" s="51">
        <v>24450</v>
      </c>
      <c r="H151" s="49">
        <v>629</v>
      </c>
      <c r="I151" s="49">
        <v>772.75</v>
      </c>
      <c r="J151" s="49">
        <v>508.5</v>
      </c>
      <c r="K151" s="49">
        <v>663.65</v>
      </c>
      <c r="L151" s="49">
        <v>501.1</v>
      </c>
      <c r="M151" s="52">
        <v>659.2</v>
      </c>
      <c r="N151" s="49">
        <v>158.1</v>
      </c>
      <c r="O151" s="49">
        <v>31.55</v>
      </c>
      <c r="P151" s="49">
        <v>834</v>
      </c>
      <c r="Q151" s="49">
        <v>338.04</v>
      </c>
      <c r="R151" s="56"/>
    </row>
    <row r="152" spans="3:18" ht="42" thickBot="1">
      <c r="C152" s="49"/>
      <c r="D152" s="49" t="s">
        <v>0</v>
      </c>
      <c r="E152" s="50">
        <v>46125</v>
      </c>
      <c r="F152" s="49" t="s">
        <v>1</v>
      </c>
      <c r="G152" s="51">
        <v>24500</v>
      </c>
      <c r="H152" s="49">
        <v>35</v>
      </c>
      <c r="I152" s="49">
        <v>44</v>
      </c>
      <c r="J152" s="49">
        <v>13.9</v>
      </c>
      <c r="K152" s="49">
        <v>17.05</v>
      </c>
      <c r="L152" s="49">
        <v>49.7</v>
      </c>
      <c r="M152" s="52">
        <v>16.350000000000001</v>
      </c>
      <c r="N152" s="49">
        <v>-33.35</v>
      </c>
      <c r="O152" s="49">
        <v>-67.099999999999994</v>
      </c>
      <c r="P152" s="53">
        <v>1143346</v>
      </c>
      <c r="Q152" s="51">
        <v>17717.29</v>
      </c>
      <c r="R152" s="56"/>
    </row>
    <row r="153" spans="3:18" ht="42" thickBot="1">
      <c r="C153" s="49"/>
      <c r="D153" s="49" t="s">
        <v>0</v>
      </c>
      <c r="E153" s="50">
        <v>46125</v>
      </c>
      <c r="F153" s="49" t="s">
        <v>20</v>
      </c>
      <c r="G153" s="51">
        <v>24500</v>
      </c>
      <c r="H153" s="49">
        <v>570.85</v>
      </c>
      <c r="I153" s="49">
        <v>819</v>
      </c>
      <c r="J153" s="49">
        <v>550</v>
      </c>
      <c r="K153" s="49">
        <v>710.45</v>
      </c>
      <c r="L153" s="49">
        <v>540.85</v>
      </c>
      <c r="M153" s="52">
        <v>701.25</v>
      </c>
      <c r="N153" s="49">
        <v>160.4</v>
      </c>
      <c r="O153" s="49">
        <v>29.66</v>
      </c>
      <c r="P153" s="53">
        <v>24627</v>
      </c>
      <c r="Q153" s="51">
        <v>10702.81</v>
      </c>
      <c r="R153" s="56"/>
    </row>
    <row r="154" spans="3:18" ht="42" thickBot="1">
      <c r="C154" s="49"/>
      <c r="D154" s="49" t="s">
        <v>0</v>
      </c>
      <c r="E154" s="50">
        <v>46125</v>
      </c>
      <c r="F154" s="49" t="s">
        <v>1</v>
      </c>
      <c r="G154" s="51">
        <v>24550</v>
      </c>
      <c r="H154" s="49">
        <v>41.4</v>
      </c>
      <c r="I154" s="49">
        <v>41.4</v>
      </c>
      <c r="J154" s="49">
        <v>11.6</v>
      </c>
      <c r="K154" s="49">
        <v>14.2</v>
      </c>
      <c r="L154" s="49">
        <v>42.3</v>
      </c>
      <c r="M154" s="52">
        <v>13.4</v>
      </c>
      <c r="N154" s="49">
        <v>-28.9</v>
      </c>
      <c r="O154" s="49">
        <v>-68.319999999999993</v>
      </c>
      <c r="P154" s="53">
        <v>248520</v>
      </c>
      <c r="Q154" s="51">
        <v>3219.45</v>
      </c>
      <c r="R154" s="56"/>
    </row>
    <row r="155" spans="3:18" ht="42" thickBot="1">
      <c r="C155" s="49"/>
      <c r="D155" s="49" t="s">
        <v>0</v>
      </c>
      <c r="E155" s="50">
        <v>46125</v>
      </c>
      <c r="F155" s="49" t="s">
        <v>20</v>
      </c>
      <c r="G155" s="51">
        <v>24550</v>
      </c>
      <c r="H155" s="49">
        <v>714.95</v>
      </c>
      <c r="I155" s="49">
        <v>828.25</v>
      </c>
      <c r="J155" s="49">
        <v>603</v>
      </c>
      <c r="K155" s="49">
        <v>756.5</v>
      </c>
      <c r="L155" s="49">
        <v>584.4</v>
      </c>
      <c r="M155" s="52">
        <v>752.55</v>
      </c>
      <c r="N155" s="49">
        <v>168.15</v>
      </c>
      <c r="O155" s="49">
        <v>28.77</v>
      </c>
      <c r="P155" s="49">
        <v>239</v>
      </c>
      <c r="Q155" s="49">
        <v>112.7</v>
      </c>
      <c r="R155" s="56"/>
    </row>
    <row r="156" spans="3:18" ht="42" thickBot="1">
      <c r="C156" s="49"/>
      <c r="D156" s="49" t="s">
        <v>0</v>
      </c>
      <c r="E156" s="50">
        <v>46125</v>
      </c>
      <c r="F156" s="49" t="s">
        <v>1</v>
      </c>
      <c r="G156" s="51">
        <v>24600</v>
      </c>
      <c r="H156" s="49">
        <v>25</v>
      </c>
      <c r="I156" s="49">
        <v>28.35</v>
      </c>
      <c r="J156" s="49">
        <v>9.6999999999999993</v>
      </c>
      <c r="K156" s="49">
        <v>11.75</v>
      </c>
      <c r="L156" s="49">
        <v>35.6</v>
      </c>
      <c r="M156" s="52">
        <v>11</v>
      </c>
      <c r="N156" s="49">
        <v>-24.6</v>
      </c>
      <c r="O156" s="49">
        <v>-69.099999999999994</v>
      </c>
      <c r="P156" s="53">
        <v>458570</v>
      </c>
      <c r="Q156" s="51">
        <v>4876.43</v>
      </c>
      <c r="R156" s="56"/>
    </row>
    <row r="157" spans="3:18" ht="42" thickBot="1">
      <c r="C157" s="49"/>
      <c r="D157" s="49" t="s">
        <v>0</v>
      </c>
      <c r="E157" s="50">
        <v>46125</v>
      </c>
      <c r="F157" s="49" t="s">
        <v>20</v>
      </c>
      <c r="G157" s="51">
        <v>24600</v>
      </c>
      <c r="H157" s="49">
        <v>737.55</v>
      </c>
      <c r="I157" s="49">
        <v>916</v>
      </c>
      <c r="J157" s="49">
        <v>638</v>
      </c>
      <c r="K157" s="49">
        <v>804.15</v>
      </c>
      <c r="L157" s="49">
        <v>626.45000000000005</v>
      </c>
      <c r="M157" s="52">
        <v>798.05</v>
      </c>
      <c r="N157" s="49">
        <v>171.6</v>
      </c>
      <c r="O157" s="49">
        <v>27.39</v>
      </c>
      <c r="P157" s="53">
        <v>1920</v>
      </c>
      <c r="Q157" s="49">
        <v>960.47</v>
      </c>
      <c r="R157" s="56"/>
    </row>
    <row r="158" spans="3:18" ht="42" thickBot="1">
      <c r="C158" s="49"/>
      <c r="D158" s="49" t="s">
        <v>0</v>
      </c>
      <c r="E158" s="50">
        <v>46125</v>
      </c>
      <c r="F158" s="49" t="s">
        <v>1</v>
      </c>
      <c r="G158" s="51">
        <v>24650</v>
      </c>
      <c r="H158" s="49">
        <v>24.4</v>
      </c>
      <c r="I158" s="49">
        <v>24.4</v>
      </c>
      <c r="J158" s="49">
        <v>8.25</v>
      </c>
      <c r="K158" s="49">
        <v>9.75</v>
      </c>
      <c r="L158" s="49">
        <v>30.05</v>
      </c>
      <c r="M158" s="52">
        <v>9.1999999999999993</v>
      </c>
      <c r="N158" s="49">
        <v>-20.85</v>
      </c>
      <c r="O158" s="49">
        <v>-69.38</v>
      </c>
      <c r="P158" s="53">
        <v>218400</v>
      </c>
      <c r="Q158" s="51">
        <v>1949.11</v>
      </c>
      <c r="R158" s="56"/>
    </row>
    <row r="159" spans="3:18" ht="42" thickBot="1">
      <c r="C159" s="49"/>
      <c r="D159" s="49" t="s">
        <v>0</v>
      </c>
      <c r="E159" s="50">
        <v>46125</v>
      </c>
      <c r="F159" s="49" t="s">
        <v>20</v>
      </c>
      <c r="G159" s="51">
        <v>24650</v>
      </c>
      <c r="H159" s="49">
        <v>735.8</v>
      </c>
      <c r="I159" s="49">
        <v>964.2</v>
      </c>
      <c r="J159" s="49">
        <v>735.8</v>
      </c>
      <c r="K159" s="49">
        <v>852.95</v>
      </c>
      <c r="L159" s="49">
        <v>673.35</v>
      </c>
      <c r="M159" s="52">
        <v>848</v>
      </c>
      <c r="N159" s="49">
        <v>174.65</v>
      </c>
      <c r="O159" s="49">
        <v>25.94</v>
      </c>
      <c r="P159" s="49">
        <v>69</v>
      </c>
      <c r="Q159" s="49">
        <v>36.549999999999997</v>
      </c>
      <c r="R159" s="56"/>
    </row>
    <row r="160" spans="3:18" ht="42" thickBot="1">
      <c r="C160" s="49"/>
      <c r="D160" s="49" t="s">
        <v>0</v>
      </c>
      <c r="E160" s="50">
        <v>46125</v>
      </c>
      <c r="F160" s="49" t="s">
        <v>1</v>
      </c>
      <c r="G160" s="51">
        <v>24700</v>
      </c>
      <c r="H160" s="49">
        <v>21.25</v>
      </c>
      <c r="I160" s="49">
        <v>29.55</v>
      </c>
      <c r="J160" s="49">
        <v>7.15</v>
      </c>
      <c r="K160" s="49">
        <v>8.3000000000000007</v>
      </c>
      <c r="L160" s="49">
        <v>25.15</v>
      </c>
      <c r="M160" s="52">
        <v>7.65</v>
      </c>
      <c r="N160" s="49">
        <v>-17.5</v>
      </c>
      <c r="O160" s="49">
        <v>-69.58</v>
      </c>
      <c r="P160" s="53">
        <v>395023</v>
      </c>
      <c r="Q160" s="51">
        <v>2939.96</v>
      </c>
      <c r="R160" s="56"/>
    </row>
    <row r="161" spans="3:18" ht="42" thickBot="1">
      <c r="C161" s="49"/>
      <c r="D161" s="49" t="s">
        <v>0</v>
      </c>
      <c r="E161" s="50">
        <v>46125</v>
      </c>
      <c r="F161" s="49" t="s">
        <v>20</v>
      </c>
      <c r="G161" s="51">
        <v>24700</v>
      </c>
      <c r="H161" s="49">
        <v>796.5</v>
      </c>
      <c r="I161" s="51">
        <v>1005.25</v>
      </c>
      <c r="J161" s="49">
        <v>730</v>
      </c>
      <c r="K161" s="49">
        <v>901.75</v>
      </c>
      <c r="L161" s="49">
        <v>716.5</v>
      </c>
      <c r="M161" s="52">
        <v>890.3</v>
      </c>
      <c r="N161" s="49">
        <v>173.8</v>
      </c>
      <c r="O161" s="49">
        <v>24.26</v>
      </c>
      <c r="P161" s="49">
        <v>701</v>
      </c>
      <c r="Q161" s="49">
        <v>382.82</v>
      </c>
      <c r="R161" s="56"/>
    </row>
    <row r="162" spans="3:18" ht="42" thickBot="1">
      <c r="C162" s="49"/>
      <c r="D162" s="49" t="s">
        <v>0</v>
      </c>
      <c r="E162" s="50">
        <v>46125</v>
      </c>
      <c r="F162" s="49" t="s">
        <v>1</v>
      </c>
      <c r="G162" s="51">
        <v>24750</v>
      </c>
      <c r="H162" s="49">
        <v>24</v>
      </c>
      <c r="I162" s="49">
        <v>24</v>
      </c>
      <c r="J162" s="49">
        <v>6.25</v>
      </c>
      <c r="K162" s="49">
        <v>7.05</v>
      </c>
      <c r="L162" s="49">
        <v>21.1</v>
      </c>
      <c r="M162" s="52">
        <v>6.25</v>
      </c>
      <c r="N162" s="49">
        <v>-14.85</v>
      </c>
      <c r="O162" s="49">
        <v>-70.38</v>
      </c>
      <c r="P162" s="53">
        <v>193547</v>
      </c>
      <c r="Q162" s="51">
        <v>1250.51</v>
      </c>
      <c r="R162" s="56"/>
    </row>
    <row r="163" spans="3:18" ht="42" thickBot="1">
      <c r="C163" s="49"/>
      <c r="D163" s="49" t="s">
        <v>0</v>
      </c>
      <c r="E163" s="50">
        <v>46125</v>
      </c>
      <c r="F163" s="49" t="s">
        <v>20</v>
      </c>
      <c r="G163" s="51">
        <v>24750</v>
      </c>
      <c r="H163" s="49">
        <v>835</v>
      </c>
      <c r="I163" s="49">
        <v>974</v>
      </c>
      <c r="J163" s="49">
        <v>789.55</v>
      </c>
      <c r="K163" s="49">
        <v>953.15</v>
      </c>
      <c r="L163" s="49">
        <v>755.05</v>
      </c>
      <c r="M163" s="52">
        <v>953.15</v>
      </c>
      <c r="N163" s="49">
        <v>198.1</v>
      </c>
      <c r="O163" s="49">
        <v>26.24</v>
      </c>
      <c r="P163" s="49">
        <v>38</v>
      </c>
      <c r="Q163" s="49">
        <v>22.31</v>
      </c>
      <c r="R163" s="56"/>
    </row>
    <row r="164" spans="3:18" ht="42" thickBot="1">
      <c r="C164" s="49"/>
      <c r="D164" s="49" t="s">
        <v>0</v>
      </c>
      <c r="E164" s="50">
        <v>46125</v>
      </c>
      <c r="F164" s="49" t="s">
        <v>1</v>
      </c>
      <c r="G164" s="51">
        <v>24800</v>
      </c>
      <c r="H164" s="49">
        <v>16.5</v>
      </c>
      <c r="I164" s="49">
        <v>16.5</v>
      </c>
      <c r="J164" s="49">
        <v>5.5</v>
      </c>
      <c r="K164" s="49">
        <v>6.15</v>
      </c>
      <c r="L164" s="49">
        <v>17.899999999999999</v>
      </c>
      <c r="M164" s="52">
        <v>5.5</v>
      </c>
      <c r="N164" s="49">
        <v>-12.4</v>
      </c>
      <c r="O164" s="49">
        <v>-69.27</v>
      </c>
      <c r="P164" s="53">
        <v>472600</v>
      </c>
      <c r="Q164" s="51">
        <v>2574.25</v>
      </c>
      <c r="R164" s="56"/>
    </row>
    <row r="165" spans="3:18" ht="42" thickBot="1">
      <c r="C165" s="49"/>
      <c r="D165" s="49" t="s">
        <v>0</v>
      </c>
      <c r="E165" s="50">
        <v>46125</v>
      </c>
      <c r="F165" s="49" t="s">
        <v>20</v>
      </c>
      <c r="G165" s="51">
        <v>24800</v>
      </c>
      <c r="H165" s="49">
        <v>909</v>
      </c>
      <c r="I165" s="51">
        <v>1114.6500000000001</v>
      </c>
      <c r="J165" s="49">
        <v>826.95</v>
      </c>
      <c r="K165" s="49">
        <v>999.15</v>
      </c>
      <c r="L165" s="49">
        <v>811.85</v>
      </c>
      <c r="M165" s="52">
        <v>994.45</v>
      </c>
      <c r="N165" s="49">
        <v>182.6</v>
      </c>
      <c r="O165" s="49">
        <v>22.49</v>
      </c>
      <c r="P165" s="49">
        <v>379</v>
      </c>
      <c r="Q165" s="49">
        <v>232.52</v>
      </c>
      <c r="R165" s="56"/>
    </row>
    <row r="166" spans="3:18" ht="42" thickBot="1">
      <c r="C166" s="49"/>
      <c r="D166" s="49" t="s">
        <v>0</v>
      </c>
      <c r="E166" s="50">
        <v>46125</v>
      </c>
      <c r="F166" s="49" t="s">
        <v>1</v>
      </c>
      <c r="G166" s="51">
        <v>24850</v>
      </c>
      <c r="H166" s="49">
        <v>19.25</v>
      </c>
      <c r="I166" s="49">
        <v>19.25</v>
      </c>
      <c r="J166" s="49">
        <v>4.7</v>
      </c>
      <c r="K166" s="49">
        <v>5.25</v>
      </c>
      <c r="L166" s="49">
        <v>15.15</v>
      </c>
      <c r="M166" s="52">
        <v>4.7</v>
      </c>
      <c r="N166" s="49">
        <v>-10.45</v>
      </c>
      <c r="O166" s="49">
        <v>-68.98</v>
      </c>
      <c r="P166" s="53">
        <v>159160</v>
      </c>
      <c r="Q166" s="49">
        <v>732.45</v>
      </c>
      <c r="R166" s="56"/>
    </row>
    <row r="167" spans="3:18" ht="42" thickBot="1">
      <c r="C167" s="49"/>
      <c r="D167" s="49" t="s">
        <v>0</v>
      </c>
      <c r="E167" s="50">
        <v>46125</v>
      </c>
      <c r="F167" s="49" t="s">
        <v>20</v>
      </c>
      <c r="G167" s="51">
        <v>24850</v>
      </c>
      <c r="H167" s="49">
        <v>933.45</v>
      </c>
      <c r="I167" s="51">
        <v>1056.8499999999999</v>
      </c>
      <c r="J167" s="49">
        <v>933.45</v>
      </c>
      <c r="K167" s="51">
        <v>1045.75</v>
      </c>
      <c r="L167" s="49">
        <v>854.1</v>
      </c>
      <c r="M167" s="54">
        <v>1039.75</v>
      </c>
      <c r="N167" s="49">
        <v>185.65</v>
      </c>
      <c r="O167" s="49">
        <v>21.74</v>
      </c>
      <c r="P167" s="49">
        <v>12</v>
      </c>
      <c r="Q167" s="49">
        <v>7.99</v>
      </c>
      <c r="R167" s="56"/>
    </row>
    <row r="168" spans="3:18" ht="42" thickBot="1">
      <c r="C168" s="49"/>
      <c r="D168" s="49" t="s">
        <v>0</v>
      </c>
      <c r="E168" s="50">
        <v>46125</v>
      </c>
      <c r="F168" s="49" t="s">
        <v>1</v>
      </c>
      <c r="G168" s="51">
        <v>24900</v>
      </c>
      <c r="H168" s="49">
        <v>12</v>
      </c>
      <c r="I168" s="49">
        <v>12</v>
      </c>
      <c r="J168" s="49">
        <v>3.7</v>
      </c>
      <c r="K168" s="49">
        <v>4.3499999999999996</v>
      </c>
      <c r="L168" s="49">
        <v>12.4</v>
      </c>
      <c r="M168" s="52">
        <v>3.85</v>
      </c>
      <c r="N168" s="49">
        <v>-8.5500000000000007</v>
      </c>
      <c r="O168" s="49">
        <v>-68.95</v>
      </c>
      <c r="P168" s="53">
        <v>393802</v>
      </c>
      <c r="Q168" s="51">
        <v>1520.47</v>
      </c>
      <c r="R168" s="56"/>
    </row>
    <row r="169" spans="3:18" ht="42" thickBot="1">
      <c r="C169" s="49"/>
      <c r="D169" s="49" t="s">
        <v>0</v>
      </c>
      <c r="E169" s="50">
        <v>46125</v>
      </c>
      <c r="F169" s="49" t="s">
        <v>20</v>
      </c>
      <c r="G169" s="51">
        <v>24900</v>
      </c>
      <c r="H169" s="49">
        <v>953</v>
      </c>
      <c r="I169" s="51">
        <v>1190.1500000000001</v>
      </c>
      <c r="J169" s="49">
        <v>930</v>
      </c>
      <c r="K169" s="51">
        <v>1095.8499999999999</v>
      </c>
      <c r="L169" s="49">
        <v>902.7</v>
      </c>
      <c r="M169" s="54">
        <v>1085.8</v>
      </c>
      <c r="N169" s="49">
        <v>183.1</v>
      </c>
      <c r="O169" s="49">
        <v>20.28</v>
      </c>
      <c r="P169" s="49">
        <v>164</v>
      </c>
      <c r="Q169" s="49">
        <v>113.88</v>
      </c>
      <c r="R169" s="56"/>
    </row>
    <row r="170" spans="3:18" ht="42" thickBot="1">
      <c r="C170" s="49"/>
      <c r="D170" s="49" t="s">
        <v>0</v>
      </c>
      <c r="E170" s="50">
        <v>46125</v>
      </c>
      <c r="F170" s="49" t="s">
        <v>1</v>
      </c>
      <c r="G170" s="51">
        <v>24950</v>
      </c>
      <c r="H170" s="49">
        <v>13.95</v>
      </c>
      <c r="I170" s="49">
        <v>13.95</v>
      </c>
      <c r="J170" s="49">
        <v>3.2</v>
      </c>
      <c r="K170" s="49">
        <v>3.75</v>
      </c>
      <c r="L170" s="49">
        <v>10.9</v>
      </c>
      <c r="M170" s="52">
        <v>3.35</v>
      </c>
      <c r="N170" s="49">
        <v>-7.55</v>
      </c>
      <c r="O170" s="49">
        <v>-69.27</v>
      </c>
      <c r="P170" s="53">
        <v>182391</v>
      </c>
      <c r="Q170" s="49">
        <v>612.91999999999996</v>
      </c>
      <c r="R170" s="56"/>
    </row>
    <row r="171" spans="3:18" ht="42" thickBot="1">
      <c r="C171" s="49"/>
      <c r="D171" s="49" t="s">
        <v>0</v>
      </c>
      <c r="E171" s="50">
        <v>46125</v>
      </c>
      <c r="F171" s="49" t="s">
        <v>20</v>
      </c>
      <c r="G171" s="51">
        <v>24950</v>
      </c>
      <c r="H171" s="51">
        <v>1140</v>
      </c>
      <c r="I171" s="51">
        <v>1256</v>
      </c>
      <c r="J171" s="51">
        <v>1090</v>
      </c>
      <c r="K171" s="51">
        <v>1190</v>
      </c>
      <c r="L171" s="49">
        <v>953.95</v>
      </c>
      <c r="M171" s="54">
        <v>1190</v>
      </c>
      <c r="N171" s="49">
        <v>236.05</v>
      </c>
      <c r="O171" s="49">
        <v>24.74</v>
      </c>
      <c r="P171" s="49">
        <v>12</v>
      </c>
      <c r="Q171" s="49">
        <v>8.83</v>
      </c>
      <c r="R171" s="56"/>
    </row>
    <row r="172" spans="3:18" ht="42" thickBot="1">
      <c r="C172" s="49"/>
      <c r="D172" s="49" t="s">
        <v>0</v>
      </c>
      <c r="E172" s="50">
        <v>46125</v>
      </c>
      <c r="F172" s="49" t="s">
        <v>1</v>
      </c>
      <c r="G172" s="51">
        <v>25000</v>
      </c>
      <c r="H172" s="49">
        <v>5.0999999999999996</v>
      </c>
      <c r="I172" s="49">
        <v>8.65</v>
      </c>
      <c r="J172" s="49">
        <v>2.8</v>
      </c>
      <c r="K172" s="49">
        <v>3.25</v>
      </c>
      <c r="L172" s="49">
        <v>9.3000000000000007</v>
      </c>
      <c r="M172" s="52">
        <v>2.95</v>
      </c>
      <c r="N172" s="49">
        <v>-6.35</v>
      </c>
      <c r="O172" s="49">
        <v>-68.28</v>
      </c>
      <c r="P172" s="53">
        <v>814138</v>
      </c>
      <c r="Q172" s="51">
        <v>2444.86</v>
      </c>
      <c r="R172" s="56"/>
    </row>
    <row r="173" spans="3:18" ht="42" thickBot="1">
      <c r="C173" s="49"/>
      <c r="D173" s="49" t="s">
        <v>0</v>
      </c>
      <c r="E173" s="50">
        <v>46125</v>
      </c>
      <c r="F173" s="49" t="s">
        <v>20</v>
      </c>
      <c r="G173" s="51">
        <v>25000</v>
      </c>
      <c r="H173" s="51">
        <v>1096.3</v>
      </c>
      <c r="I173" s="51">
        <v>1311.85</v>
      </c>
      <c r="J173" s="51">
        <v>1014.2</v>
      </c>
      <c r="K173" s="51">
        <v>1199.3</v>
      </c>
      <c r="L173" s="49">
        <v>999.45</v>
      </c>
      <c r="M173" s="54">
        <v>1188.7</v>
      </c>
      <c r="N173" s="49">
        <v>189.25</v>
      </c>
      <c r="O173" s="49">
        <v>18.940000000000001</v>
      </c>
      <c r="P173" s="53">
        <v>1547</v>
      </c>
      <c r="Q173" s="51">
        <v>1158.02</v>
      </c>
      <c r="R173" s="56"/>
    </row>
    <row r="174" spans="3:18" ht="42" thickBot="1">
      <c r="C174" s="49"/>
      <c r="D174" s="49" t="s">
        <v>0</v>
      </c>
      <c r="E174" s="50">
        <v>46125</v>
      </c>
      <c r="F174" s="49" t="s">
        <v>1</v>
      </c>
      <c r="G174" s="51">
        <v>25050</v>
      </c>
      <c r="H174" s="49">
        <v>10.199999999999999</v>
      </c>
      <c r="I174" s="49">
        <v>10.199999999999999</v>
      </c>
      <c r="J174" s="49">
        <v>2.2999999999999998</v>
      </c>
      <c r="K174" s="49">
        <v>2.65</v>
      </c>
      <c r="L174" s="49">
        <v>7.85</v>
      </c>
      <c r="M174" s="52">
        <v>2.4</v>
      </c>
      <c r="N174" s="49">
        <v>-5.45</v>
      </c>
      <c r="O174" s="49">
        <v>-69.430000000000007</v>
      </c>
      <c r="P174" s="53">
        <v>96171</v>
      </c>
      <c r="Q174" s="49">
        <v>236.92</v>
      </c>
      <c r="R174" s="56"/>
    </row>
    <row r="175" spans="3:18" ht="42" thickBot="1">
      <c r="C175" s="49"/>
      <c r="D175" s="49" t="s">
        <v>0</v>
      </c>
      <c r="E175" s="50">
        <v>46125</v>
      </c>
      <c r="F175" s="49" t="s">
        <v>1</v>
      </c>
      <c r="G175" s="51">
        <v>25100</v>
      </c>
      <c r="H175" s="49">
        <v>8</v>
      </c>
      <c r="I175" s="49">
        <v>8</v>
      </c>
      <c r="J175" s="49">
        <v>1.85</v>
      </c>
      <c r="K175" s="49">
        <v>2.1</v>
      </c>
      <c r="L175" s="49">
        <v>6.45</v>
      </c>
      <c r="M175" s="52">
        <v>1.9</v>
      </c>
      <c r="N175" s="49">
        <v>-4.55</v>
      </c>
      <c r="O175" s="49">
        <v>-70.540000000000006</v>
      </c>
      <c r="P175" s="53">
        <v>341072</v>
      </c>
      <c r="Q175" s="49">
        <v>711.65</v>
      </c>
      <c r="R175" s="56"/>
    </row>
    <row r="176" spans="3:18" ht="42" thickBot="1">
      <c r="C176" s="49"/>
      <c r="D176" s="49" t="s">
        <v>0</v>
      </c>
      <c r="E176" s="50">
        <v>46125</v>
      </c>
      <c r="F176" s="49" t="s">
        <v>20</v>
      </c>
      <c r="G176" s="51">
        <v>25100</v>
      </c>
      <c r="H176" s="51">
        <v>1340.65</v>
      </c>
      <c r="I176" s="51">
        <v>1340.65</v>
      </c>
      <c r="J176" s="51">
        <v>1253.7</v>
      </c>
      <c r="K176" s="51">
        <v>1295.55</v>
      </c>
      <c r="L176" s="51">
        <v>1076.8</v>
      </c>
      <c r="M176" s="54">
        <v>1295.55</v>
      </c>
      <c r="N176" s="49">
        <v>218.75</v>
      </c>
      <c r="O176" s="49">
        <v>20.309999999999999</v>
      </c>
      <c r="P176" s="49">
        <v>13</v>
      </c>
      <c r="Q176" s="49">
        <v>10.83</v>
      </c>
      <c r="R176" s="56"/>
    </row>
    <row r="177" spans="3:18" ht="42" thickBot="1">
      <c r="C177" s="49"/>
      <c r="D177" s="49" t="s">
        <v>0</v>
      </c>
      <c r="E177" s="50">
        <v>46125</v>
      </c>
      <c r="F177" s="49" t="s">
        <v>1</v>
      </c>
      <c r="G177" s="51">
        <v>25150</v>
      </c>
      <c r="H177" s="49">
        <v>5.15</v>
      </c>
      <c r="I177" s="49">
        <v>5.2</v>
      </c>
      <c r="J177" s="49">
        <v>1.65</v>
      </c>
      <c r="K177" s="49">
        <v>1.9</v>
      </c>
      <c r="L177" s="49">
        <v>5.45</v>
      </c>
      <c r="M177" s="52">
        <v>1.9</v>
      </c>
      <c r="N177" s="49">
        <v>-3.55</v>
      </c>
      <c r="O177" s="49">
        <v>-65.14</v>
      </c>
      <c r="P177" s="53">
        <v>81695</v>
      </c>
      <c r="Q177" s="49">
        <v>163.02000000000001</v>
      </c>
      <c r="R177" s="56"/>
    </row>
    <row r="178" spans="3:18" ht="42" thickBot="1">
      <c r="C178" s="49"/>
      <c r="D178" s="49" t="s">
        <v>0</v>
      </c>
      <c r="E178" s="50">
        <v>46125</v>
      </c>
      <c r="F178" s="49" t="s">
        <v>1</v>
      </c>
      <c r="G178" s="51">
        <v>25200</v>
      </c>
      <c r="H178" s="49">
        <v>4.5999999999999996</v>
      </c>
      <c r="I178" s="49">
        <v>4.5999999999999996</v>
      </c>
      <c r="J178" s="49">
        <v>1.25</v>
      </c>
      <c r="K178" s="49">
        <v>1.5</v>
      </c>
      <c r="L178" s="49">
        <v>4.4000000000000004</v>
      </c>
      <c r="M178" s="52">
        <v>1.4</v>
      </c>
      <c r="N178" s="49">
        <v>-3</v>
      </c>
      <c r="O178" s="49">
        <v>-68.180000000000007</v>
      </c>
      <c r="P178" s="53">
        <v>385333</v>
      </c>
      <c r="Q178" s="49">
        <v>586.09</v>
      </c>
      <c r="R178" s="56"/>
    </row>
    <row r="179" spans="3:18" ht="42" thickBot="1">
      <c r="C179" s="49"/>
      <c r="D179" s="49" t="s">
        <v>0</v>
      </c>
      <c r="E179" s="50">
        <v>46125</v>
      </c>
      <c r="F179" s="49" t="s">
        <v>1</v>
      </c>
      <c r="G179" s="51">
        <v>25250</v>
      </c>
      <c r="H179" s="49">
        <v>4.2</v>
      </c>
      <c r="I179" s="49">
        <v>4.2</v>
      </c>
      <c r="J179" s="49">
        <v>1.25</v>
      </c>
      <c r="K179" s="49">
        <v>1.45</v>
      </c>
      <c r="L179" s="49">
        <v>3.9</v>
      </c>
      <c r="M179" s="52">
        <v>1.4</v>
      </c>
      <c r="N179" s="49">
        <v>-2.5</v>
      </c>
      <c r="O179" s="49">
        <v>-64.099999999999994</v>
      </c>
      <c r="P179" s="53">
        <v>61546</v>
      </c>
      <c r="Q179" s="49">
        <v>93.61</v>
      </c>
      <c r="R179" s="56"/>
    </row>
    <row r="180" spans="3:18" ht="42" thickBot="1">
      <c r="C180" s="49"/>
      <c r="D180" s="49" t="s">
        <v>0</v>
      </c>
      <c r="E180" s="50">
        <v>46125</v>
      </c>
      <c r="F180" s="49" t="s">
        <v>1</v>
      </c>
      <c r="G180" s="51">
        <v>25300</v>
      </c>
      <c r="H180" s="49">
        <v>3.4</v>
      </c>
      <c r="I180" s="49">
        <v>3.4</v>
      </c>
      <c r="J180" s="49">
        <v>1.05</v>
      </c>
      <c r="K180" s="49">
        <v>1.2</v>
      </c>
      <c r="L180" s="49">
        <v>3.25</v>
      </c>
      <c r="M180" s="52">
        <v>1.2</v>
      </c>
      <c r="N180" s="49">
        <v>-2.0499999999999998</v>
      </c>
      <c r="O180" s="49">
        <v>-63.08</v>
      </c>
      <c r="P180" s="53">
        <v>280558</v>
      </c>
      <c r="Q180" s="49">
        <v>355.61</v>
      </c>
      <c r="R180" s="56"/>
    </row>
    <row r="181" spans="3:18" ht="42" thickBot="1">
      <c r="C181" s="49"/>
      <c r="D181" s="49" t="s">
        <v>0</v>
      </c>
      <c r="E181" s="50">
        <v>46125</v>
      </c>
      <c r="F181" s="49" t="s">
        <v>1</v>
      </c>
      <c r="G181" s="51">
        <v>25350</v>
      </c>
      <c r="H181" s="49">
        <v>3.5</v>
      </c>
      <c r="I181" s="49">
        <v>3.5</v>
      </c>
      <c r="J181" s="49">
        <v>0.95</v>
      </c>
      <c r="K181" s="49">
        <v>1.1000000000000001</v>
      </c>
      <c r="L181" s="49">
        <v>2.9</v>
      </c>
      <c r="M181" s="52">
        <v>1.1000000000000001</v>
      </c>
      <c r="N181" s="49">
        <v>-1.8</v>
      </c>
      <c r="O181" s="49">
        <v>-62.07</v>
      </c>
      <c r="P181" s="53">
        <v>48586</v>
      </c>
      <c r="Q181" s="49">
        <v>55.27</v>
      </c>
      <c r="R181" s="56"/>
    </row>
    <row r="182" spans="3:18" ht="42" thickBot="1">
      <c r="C182" s="49"/>
      <c r="D182" s="49" t="s">
        <v>0</v>
      </c>
      <c r="E182" s="50">
        <v>46125</v>
      </c>
      <c r="F182" s="49" t="s">
        <v>1</v>
      </c>
      <c r="G182" s="51">
        <v>25400</v>
      </c>
      <c r="H182" s="49">
        <v>2.9</v>
      </c>
      <c r="I182" s="49">
        <v>2.9</v>
      </c>
      <c r="J182" s="49">
        <v>0.95</v>
      </c>
      <c r="K182" s="49">
        <v>1.05</v>
      </c>
      <c r="L182" s="49">
        <v>2.5</v>
      </c>
      <c r="M182" s="52">
        <v>1</v>
      </c>
      <c r="N182" s="49">
        <v>-1.5</v>
      </c>
      <c r="O182" s="49">
        <v>-60</v>
      </c>
      <c r="P182" s="53">
        <v>130335</v>
      </c>
      <c r="Q182" s="49">
        <v>138.94</v>
      </c>
      <c r="R182" s="56"/>
    </row>
    <row r="183" spans="3:18" ht="42" thickBot="1">
      <c r="C183" s="49"/>
      <c r="D183" s="49" t="s">
        <v>0</v>
      </c>
      <c r="E183" s="50">
        <v>46125</v>
      </c>
      <c r="F183" s="49" t="s">
        <v>20</v>
      </c>
      <c r="G183" s="51">
        <v>25400</v>
      </c>
      <c r="H183" s="51">
        <v>1539.9</v>
      </c>
      <c r="I183" s="51">
        <v>1540</v>
      </c>
      <c r="J183" s="51">
        <v>1539.35</v>
      </c>
      <c r="K183" s="51">
        <v>1539.35</v>
      </c>
      <c r="L183" s="51">
        <v>2275</v>
      </c>
      <c r="M183" s="54">
        <v>1539.35</v>
      </c>
      <c r="N183" s="49">
        <v>-735.65</v>
      </c>
      <c r="O183" s="49">
        <v>-32.340000000000003</v>
      </c>
      <c r="P183" s="49">
        <v>7</v>
      </c>
      <c r="Q183" s="49">
        <v>7.01</v>
      </c>
      <c r="R183" s="56"/>
    </row>
    <row r="184" spans="3:18" ht="42" thickBot="1">
      <c r="C184" s="49"/>
      <c r="D184" s="49" t="s">
        <v>0</v>
      </c>
      <c r="E184" s="50">
        <v>46125</v>
      </c>
      <c r="F184" s="49" t="s">
        <v>1</v>
      </c>
      <c r="G184" s="51">
        <v>25450</v>
      </c>
      <c r="H184" s="49">
        <v>2.75</v>
      </c>
      <c r="I184" s="49">
        <v>2.75</v>
      </c>
      <c r="J184" s="49">
        <v>0.9</v>
      </c>
      <c r="K184" s="49">
        <v>1</v>
      </c>
      <c r="L184" s="49">
        <v>2.35</v>
      </c>
      <c r="M184" s="52">
        <v>1</v>
      </c>
      <c r="N184" s="49">
        <v>-1.35</v>
      </c>
      <c r="O184" s="49">
        <v>-57.45</v>
      </c>
      <c r="P184" s="53">
        <v>50945</v>
      </c>
      <c r="Q184" s="49">
        <v>53.31</v>
      </c>
      <c r="R184" s="56"/>
    </row>
    <row r="185" spans="3:18" ht="42" thickBot="1">
      <c r="C185" s="49"/>
      <c r="D185" s="49" t="s">
        <v>0</v>
      </c>
      <c r="E185" s="50">
        <v>46125</v>
      </c>
      <c r="F185" s="49" t="s">
        <v>1</v>
      </c>
      <c r="G185" s="51">
        <v>25500</v>
      </c>
      <c r="H185" s="49">
        <v>1.8</v>
      </c>
      <c r="I185" s="49">
        <v>2.2999999999999998</v>
      </c>
      <c r="J185" s="49">
        <v>0.9</v>
      </c>
      <c r="K185" s="49">
        <v>1</v>
      </c>
      <c r="L185" s="49">
        <v>2.1</v>
      </c>
      <c r="M185" s="52">
        <v>0.95</v>
      </c>
      <c r="N185" s="49">
        <v>-1.1499999999999999</v>
      </c>
      <c r="O185" s="49">
        <v>-54.76</v>
      </c>
      <c r="P185" s="53">
        <v>320877</v>
      </c>
      <c r="Q185" s="49">
        <v>300.33999999999997</v>
      </c>
      <c r="R185" s="56"/>
    </row>
    <row r="186" spans="3:18" ht="42" thickBot="1">
      <c r="C186" s="49"/>
      <c r="D186" s="49" t="s">
        <v>0</v>
      </c>
      <c r="E186" s="50">
        <v>46125</v>
      </c>
      <c r="F186" s="49" t="s">
        <v>20</v>
      </c>
      <c r="G186" s="51">
        <v>25500</v>
      </c>
      <c r="H186" s="51">
        <v>1530</v>
      </c>
      <c r="I186" s="51">
        <v>1775.05</v>
      </c>
      <c r="J186" s="51">
        <v>1530</v>
      </c>
      <c r="K186" s="51">
        <v>1686.35</v>
      </c>
      <c r="L186" s="51">
        <v>1489</v>
      </c>
      <c r="M186" s="54">
        <v>1682.95</v>
      </c>
      <c r="N186" s="49">
        <v>193.95</v>
      </c>
      <c r="O186" s="49">
        <v>13.03</v>
      </c>
      <c r="P186" s="49">
        <v>233</v>
      </c>
      <c r="Q186" s="49">
        <v>245.94</v>
      </c>
      <c r="R186" s="56"/>
    </row>
    <row r="187" spans="3:18" ht="42" thickBot="1">
      <c r="C187" s="49"/>
      <c r="D187" s="49" t="s">
        <v>0</v>
      </c>
      <c r="E187" s="50">
        <v>46125</v>
      </c>
      <c r="F187" s="49" t="s">
        <v>1</v>
      </c>
      <c r="G187" s="51">
        <v>25550</v>
      </c>
      <c r="H187" s="49">
        <v>2.35</v>
      </c>
      <c r="I187" s="49">
        <v>2.35</v>
      </c>
      <c r="J187" s="49">
        <v>0.8</v>
      </c>
      <c r="K187" s="49">
        <v>0.95</v>
      </c>
      <c r="L187" s="49">
        <v>1.95</v>
      </c>
      <c r="M187" s="52">
        <v>0.95</v>
      </c>
      <c r="N187" s="49">
        <v>-1</v>
      </c>
      <c r="O187" s="49">
        <v>-51.28</v>
      </c>
      <c r="P187" s="53">
        <v>30367</v>
      </c>
      <c r="Q187" s="49">
        <v>27.83</v>
      </c>
      <c r="R187" s="56"/>
    </row>
    <row r="188" spans="3:18" ht="42" thickBot="1">
      <c r="C188" s="49"/>
      <c r="D188" s="49" t="s">
        <v>0</v>
      </c>
      <c r="E188" s="50">
        <v>46125</v>
      </c>
      <c r="F188" s="49" t="s">
        <v>20</v>
      </c>
      <c r="G188" s="51">
        <v>25550</v>
      </c>
      <c r="H188" s="51">
        <v>1640</v>
      </c>
      <c r="I188" s="51">
        <v>1650</v>
      </c>
      <c r="J188" s="51">
        <v>1640</v>
      </c>
      <c r="K188" s="51">
        <v>1650</v>
      </c>
      <c r="L188" s="51">
        <v>2820</v>
      </c>
      <c r="M188" s="54">
        <v>1650</v>
      </c>
      <c r="N188" s="51">
        <v>-1170</v>
      </c>
      <c r="O188" s="49">
        <v>-41.49</v>
      </c>
      <c r="P188" s="49">
        <v>2</v>
      </c>
      <c r="Q188" s="49">
        <v>2.14</v>
      </c>
      <c r="R188" s="56"/>
    </row>
    <row r="189" spans="3:18" ht="42" thickBot="1">
      <c r="C189" s="49"/>
      <c r="D189" s="49" t="s">
        <v>0</v>
      </c>
      <c r="E189" s="50">
        <v>46125</v>
      </c>
      <c r="F189" s="49" t="s">
        <v>1</v>
      </c>
      <c r="G189" s="51">
        <v>25600</v>
      </c>
      <c r="H189" s="49">
        <v>1.65</v>
      </c>
      <c r="I189" s="49">
        <v>1.85</v>
      </c>
      <c r="J189" s="49">
        <v>0.75</v>
      </c>
      <c r="K189" s="49">
        <v>0.9</v>
      </c>
      <c r="L189" s="49">
        <v>1.8</v>
      </c>
      <c r="M189" s="52">
        <v>0.85</v>
      </c>
      <c r="N189" s="49">
        <v>-0.95</v>
      </c>
      <c r="O189" s="49">
        <v>-52.78</v>
      </c>
      <c r="P189" s="53">
        <v>53809</v>
      </c>
      <c r="Q189" s="49">
        <v>45.47</v>
      </c>
      <c r="R189" s="56"/>
    </row>
    <row r="190" spans="3:18" ht="42" thickBot="1">
      <c r="C190" s="49"/>
      <c r="D190" s="49" t="s">
        <v>0</v>
      </c>
      <c r="E190" s="50">
        <v>46125</v>
      </c>
      <c r="F190" s="49" t="s">
        <v>20</v>
      </c>
      <c r="G190" s="51">
        <v>25600</v>
      </c>
      <c r="H190" s="51">
        <v>1800</v>
      </c>
      <c r="I190" s="51">
        <v>1800</v>
      </c>
      <c r="J190" s="51">
        <v>1800</v>
      </c>
      <c r="K190" s="51">
        <v>1800</v>
      </c>
      <c r="L190" s="51">
        <v>1635.95</v>
      </c>
      <c r="M190" s="54">
        <v>1800</v>
      </c>
      <c r="N190" s="49">
        <v>164.05</v>
      </c>
      <c r="O190" s="49">
        <v>10.029999999999999</v>
      </c>
      <c r="P190" s="49">
        <v>1</v>
      </c>
      <c r="Q190" s="49">
        <v>1.17</v>
      </c>
      <c r="R190" s="56"/>
    </row>
    <row r="191" spans="3:18" ht="42" thickBot="1">
      <c r="C191" s="49"/>
      <c r="D191" s="49" t="s">
        <v>0</v>
      </c>
      <c r="E191" s="50">
        <v>46125</v>
      </c>
      <c r="F191" s="49" t="s">
        <v>1</v>
      </c>
      <c r="G191" s="51">
        <v>25650</v>
      </c>
      <c r="H191" s="49">
        <v>1.9</v>
      </c>
      <c r="I191" s="49">
        <v>1.95</v>
      </c>
      <c r="J191" s="49">
        <v>0.75</v>
      </c>
      <c r="K191" s="49">
        <v>0.8</v>
      </c>
      <c r="L191" s="49">
        <v>1.55</v>
      </c>
      <c r="M191" s="52">
        <v>0.75</v>
      </c>
      <c r="N191" s="49">
        <v>-0.8</v>
      </c>
      <c r="O191" s="49">
        <v>-51.61</v>
      </c>
      <c r="P191" s="53">
        <v>18505</v>
      </c>
      <c r="Q191" s="49">
        <v>15.28</v>
      </c>
      <c r="R191" s="56"/>
    </row>
    <row r="192" spans="3:18" ht="42" thickBot="1">
      <c r="C192" s="49"/>
      <c r="D192" s="49" t="s">
        <v>0</v>
      </c>
      <c r="E192" s="50">
        <v>46125</v>
      </c>
      <c r="F192" s="49" t="s">
        <v>1</v>
      </c>
      <c r="G192" s="51">
        <v>25700</v>
      </c>
      <c r="H192" s="49">
        <v>1.35</v>
      </c>
      <c r="I192" s="49">
        <v>1.5</v>
      </c>
      <c r="J192" s="49">
        <v>0.65</v>
      </c>
      <c r="K192" s="49">
        <v>0.75</v>
      </c>
      <c r="L192" s="49">
        <v>1.35</v>
      </c>
      <c r="M192" s="52">
        <v>0.7</v>
      </c>
      <c r="N192" s="49">
        <v>-0.65</v>
      </c>
      <c r="O192" s="49">
        <v>-48.15</v>
      </c>
      <c r="P192" s="53">
        <v>66690</v>
      </c>
      <c r="Q192" s="49">
        <v>45.95</v>
      </c>
      <c r="R192" s="56"/>
    </row>
    <row r="193" spans="3:18" ht="42" thickBot="1">
      <c r="C193" s="49"/>
      <c r="D193" s="49" t="s">
        <v>0</v>
      </c>
      <c r="E193" s="50">
        <v>46125</v>
      </c>
      <c r="F193" s="49" t="s">
        <v>1</v>
      </c>
      <c r="G193" s="51">
        <v>25750</v>
      </c>
      <c r="H193" s="49">
        <v>1.65</v>
      </c>
      <c r="I193" s="49">
        <v>1.7</v>
      </c>
      <c r="J193" s="49">
        <v>0.65</v>
      </c>
      <c r="K193" s="49">
        <v>0.75</v>
      </c>
      <c r="L193" s="49">
        <v>1.3</v>
      </c>
      <c r="M193" s="52">
        <v>0.65</v>
      </c>
      <c r="N193" s="49">
        <v>-0.65</v>
      </c>
      <c r="O193" s="49">
        <v>-50</v>
      </c>
      <c r="P193" s="53">
        <v>20215</v>
      </c>
      <c r="Q193" s="49">
        <v>13.67</v>
      </c>
      <c r="R193" s="56"/>
    </row>
    <row r="194" spans="3:18" ht="42" thickBot="1">
      <c r="C194" s="49"/>
      <c r="D194" s="49" t="s">
        <v>0</v>
      </c>
      <c r="E194" s="50">
        <v>46125</v>
      </c>
      <c r="F194" s="49" t="s">
        <v>1</v>
      </c>
      <c r="G194" s="51">
        <v>25800</v>
      </c>
      <c r="H194" s="49">
        <v>1.25</v>
      </c>
      <c r="I194" s="49">
        <v>1.45</v>
      </c>
      <c r="J194" s="49">
        <v>0.7</v>
      </c>
      <c r="K194" s="49">
        <v>0.75</v>
      </c>
      <c r="L194" s="49">
        <v>1.25</v>
      </c>
      <c r="M194" s="52">
        <v>0.75</v>
      </c>
      <c r="N194" s="49">
        <v>-0.5</v>
      </c>
      <c r="O194" s="49">
        <v>-40</v>
      </c>
      <c r="P194" s="53">
        <v>45090</v>
      </c>
      <c r="Q194" s="49">
        <v>29.89</v>
      </c>
      <c r="R194" s="56"/>
    </row>
    <row r="195" spans="3:18" ht="42" thickBot="1">
      <c r="C195" s="49"/>
      <c r="D195" s="49" t="s">
        <v>0</v>
      </c>
      <c r="E195" s="50">
        <v>46125</v>
      </c>
      <c r="F195" s="49" t="s">
        <v>1</v>
      </c>
      <c r="G195" s="51">
        <v>25850</v>
      </c>
      <c r="H195" s="49">
        <v>1.4</v>
      </c>
      <c r="I195" s="49">
        <v>1.5</v>
      </c>
      <c r="J195" s="49">
        <v>0.7</v>
      </c>
      <c r="K195" s="49">
        <v>0.8</v>
      </c>
      <c r="L195" s="49">
        <v>1.3</v>
      </c>
      <c r="M195" s="52">
        <v>0.7</v>
      </c>
      <c r="N195" s="49">
        <v>-0.6</v>
      </c>
      <c r="O195" s="49">
        <v>-46.15</v>
      </c>
      <c r="P195" s="53">
        <v>9574</v>
      </c>
      <c r="Q195" s="49">
        <v>6.6</v>
      </c>
      <c r="R195" s="56"/>
    </row>
    <row r="196" spans="3:18" ht="42" thickBot="1">
      <c r="C196" s="49"/>
      <c r="D196" s="49" t="s">
        <v>0</v>
      </c>
      <c r="E196" s="50">
        <v>46125</v>
      </c>
      <c r="F196" s="49" t="s">
        <v>1</v>
      </c>
      <c r="G196" s="51">
        <v>25900</v>
      </c>
      <c r="H196" s="49">
        <v>1.4</v>
      </c>
      <c r="I196" s="49">
        <v>1.45</v>
      </c>
      <c r="J196" s="49">
        <v>0.6</v>
      </c>
      <c r="K196" s="49">
        <v>0.7</v>
      </c>
      <c r="L196" s="49">
        <v>1.25</v>
      </c>
      <c r="M196" s="52">
        <v>0.65</v>
      </c>
      <c r="N196" s="49">
        <v>-0.6</v>
      </c>
      <c r="O196" s="49">
        <v>-48</v>
      </c>
      <c r="P196" s="53">
        <v>22380</v>
      </c>
      <c r="Q196" s="49">
        <v>14.26</v>
      </c>
      <c r="R196" s="56"/>
    </row>
    <row r="197" spans="3:18" ht="42" thickBot="1">
      <c r="C197" s="49"/>
      <c r="D197" s="49" t="s">
        <v>0</v>
      </c>
      <c r="E197" s="50">
        <v>46125</v>
      </c>
      <c r="F197" s="49" t="s">
        <v>1</v>
      </c>
      <c r="G197" s="51">
        <v>25950</v>
      </c>
      <c r="H197" s="49">
        <v>1.25</v>
      </c>
      <c r="I197" s="49">
        <v>1.4</v>
      </c>
      <c r="J197" s="49">
        <v>0.65</v>
      </c>
      <c r="K197" s="49">
        <v>0.75</v>
      </c>
      <c r="L197" s="49">
        <v>1.2</v>
      </c>
      <c r="M197" s="52">
        <v>0.65</v>
      </c>
      <c r="N197" s="49">
        <v>-0.55000000000000004</v>
      </c>
      <c r="O197" s="49">
        <v>-45.83</v>
      </c>
      <c r="P197" s="53">
        <v>14842</v>
      </c>
      <c r="Q197" s="49">
        <v>9.16</v>
      </c>
      <c r="R197" s="56"/>
    </row>
    <row r="198" spans="3:18" ht="42" thickBot="1">
      <c r="C198" s="49"/>
      <c r="D198" s="49" t="s">
        <v>0</v>
      </c>
      <c r="E198" s="50">
        <v>46125</v>
      </c>
      <c r="F198" s="49" t="s">
        <v>1</v>
      </c>
      <c r="G198" s="51">
        <v>26000</v>
      </c>
      <c r="H198" s="49">
        <v>1.25</v>
      </c>
      <c r="I198" s="49">
        <v>1.3</v>
      </c>
      <c r="J198" s="49">
        <v>0.6</v>
      </c>
      <c r="K198" s="49">
        <v>0.7</v>
      </c>
      <c r="L198" s="49">
        <v>1.2</v>
      </c>
      <c r="M198" s="52">
        <v>0.6</v>
      </c>
      <c r="N198" s="49">
        <v>-0.6</v>
      </c>
      <c r="O198" s="49">
        <v>-50</v>
      </c>
      <c r="P198" s="53">
        <v>219321</v>
      </c>
      <c r="Q198" s="49">
        <v>119.75</v>
      </c>
      <c r="R198" s="56"/>
    </row>
    <row r="199" spans="3:18" ht="42" thickBot="1">
      <c r="C199" s="49"/>
      <c r="D199" s="49" t="s">
        <v>0</v>
      </c>
      <c r="E199" s="50">
        <v>46125</v>
      </c>
      <c r="F199" s="49" t="s">
        <v>20</v>
      </c>
      <c r="G199" s="51">
        <v>26000</v>
      </c>
      <c r="H199" s="51">
        <v>2010</v>
      </c>
      <c r="I199" s="51">
        <v>2300.1999999999998</v>
      </c>
      <c r="J199" s="51">
        <v>2010</v>
      </c>
      <c r="K199" s="51">
        <v>2180.9499999999998</v>
      </c>
      <c r="L199" s="51">
        <v>1988.05</v>
      </c>
      <c r="M199" s="54">
        <v>2186.8000000000002</v>
      </c>
      <c r="N199" s="49">
        <v>198.75</v>
      </c>
      <c r="O199" s="49">
        <v>10</v>
      </c>
      <c r="P199" s="49">
        <v>346</v>
      </c>
      <c r="Q199" s="49">
        <v>483.79</v>
      </c>
      <c r="R199" s="56"/>
    </row>
    <row r="200" spans="3:18" ht="42" thickBot="1">
      <c r="C200" s="49"/>
      <c r="D200" s="49" t="s">
        <v>0</v>
      </c>
      <c r="E200" s="50">
        <v>46125</v>
      </c>
      <c r="F200" s="49" t="s">
        <v>1</v>
      </c>
      <c r="G200" s="51">
        <v>26050</v>
      </c>
      <c r="H200" s="49">
        <v>1.4</v>
      </c>
      <c r="I200" s="49">
        <v>1.5</v>
      </c>
      <c r="J200" s="49">
        <v>0.55000000000000004</v>
      </c>
      <c r="K200" s="49">
        <v>0.65</v>
      </c>
      <c r="L200" s="49">
        <v>1.1499999999999999</v>
      </c>
      <c r="M200" s="52">
        <v>0.6</v>
      </c>
      <c r="N200" s="49">
        <v>-0.55000000000000004</v>
      </c>
      <c r="O200" s="49">
        <v>-47.83</v>
      </c>
      <c r="P200" s="53">
        <v>6927</v>
      </c>
      <c r="Q200" s="49">
        <v>3.92</v>
      </c>
      <c r="R200" s="56"/>
    </row>
    <row r="201" spans="3:18" ht="42" thickBot="1">
      <c r="C201" s="49"/>
      <c r="D201" s="49" t="s">
        <v>0</v>
      </c>
      <c r="E201" s="50">
        <v>46125</v>
      </c>
      <c r="F201" s="49" t="s">
        <v>1</v>
      </c>
      <c r="G201" s="51">
        <v>26100</v>
      </c>
      <c r="H201" s="49">
        <v>1.3</v>
      </c>
      <c r="I201" s="49">
        <v>1.4</v>
      </c>
      <c r="J201" s="49">
        <v>0.55000000000000004</v>
      </c>
      <c r="K201" s="49">
        <v>0.6</v>
      </c>
      <c r="L201" s="49">
        <v>1.1000000000000001</v>
      </c>
      <c r="M201" s="52">
        <v>0.55000000000000004</v>
      </c>
      <c r="N201" s="49">
        <v>-0.55000000000000004</v>
      </c>
      <c r="O201" s="49">
        <v>-50</v>
      </c>
      <c r="P201" s="53">
        <v>20106</v>
      </c>
      <c r="Q201" s="49">
        <v>10.32</v>
      </c>
      <c r="R201" s="56"/>
    </row>
    <row r="202" spans="3:18" ht="42" thickBot="1">
      <c r="C202" s="49"/>
      <c r="D202" s="49" t="s">
        <v>0</v>
      </c>
      <c r="E202" s="50">
        <v>46125</v>
      </c>
      <c r="F202" s="49" t="s">
        <v>20</v>
      </c>
      <c r="G202" s="51">
        <v>26100</v>
      </c>
      <c r="H202" s="51">
        <v>2370</v>
      </c>
      <c r="I202" s="51">
        <v>2370</v>
      </c>
      <c r="J202" s="51">
        <v>2370</v>
      </c>
      <c r="K202" s="51">
        <v>2370</v>
      </c>
      <c r="L202" s="51">
        <v>1706.45</v>
      </c>
      <c r="M202" s="54">
        <v>2370</v>
      </c>
      <c r="N202" s="49">
        <v>663.55</v>
      </c>
      <c r="O202" s="49">
        <v>38.880000000000003</v>
      </c>
      <c r="P202" s="49">
        <v>2</v>
      </c>
      <c r="Q202" s="49">
        <v>3.08</v>
      </c>
      <c r="R202" s="56"/>
    </row>
    <row r="203" spans="3:18" ht="42" thickBot="1">
      <c r="C203" s="49"/>
      <c r="D203" s="49" t="s">
        <v>0</v>
      </c>
      <c r="E203" s="50">
        <v>46125</v>
      </c>
      <c r="F203" s="49" t="s">
        <v>1</v>
      </c>
      <c r="G203" s="51">
        <v>26150</v>
      </c>
      <c r="H203" s="49">
        <v>1.3</v>
      </c>
      <c r="I203" s="49">
        <v>1.4</v>
      </c>
      <c r="J203" s="49">
        <v>0.55000000000000004</v>
      </c>
      <c r="K203" s="49">
        <v>0.65</v>
      </c>
      <c r="L203" s="49">
        <v>1.05</v>
      </c>
      <c r="M203" s="52">
        <v>0.55000000000000004</v>
      </c>
      <c r="N203" s="49">
        <v>-0.5</v>
      </c>
      <c r="O203" s="49">
        <v>-47.62</v>
      </c>
      <c r="P203" s="53">
        <v>23265</v>
      </c>
      <c r="Q203" s="49">
        <v>12.1</v>
      </c>
      <c r="R203" s="56"/>
    </row>
    <row r="204" spans="3:18" ht="20.399999999999999">
      <c r="C204" s="62" t="s">
        <v>35</v>
      </c>
      <c r="D204" s="67" t="s">
        <v>0</v>
      </c>
      <c r="E204" s="68">
        <v>46021</v>
      </c>
      <c r="F204" s="67" t="s">
        <v>1</v>
      </c>
      <c r="G204" s="69">
        <v>30000</v>
      </c>
      <c r="H204" s="67">
        <v>0.65</v>
      </c>
      <c r="I204" s="67">
        <v>0.65</v>
      </c>
      <c r="J204" s="67">
        <v>0.55000000000000004</v>
      </c>
      <c r="K204" s="67">
        <v>0.65</v>
      </c>
      <c r="L204" s="67">
        <v>0.65</v>
      </c>
      <c r="M204" s="70">
        <v>0.6</v>
      </c>
      <c r="N204" s="67">
        <v>-0.05</v>
      </c>
      <c r="O204" s="67">
        <v>-7.69</v>
      </c>
      <c r="P204" s="71">
        <v>1236</v>
      </c>
      <c r="Q204" s="67">
        <v>0.56000000000000005</v>
      </c>
    </row>
    <row r="205" spans="3:18" ht="21" thickBot="1">
      <c r="C205" s="2"/>
      <c r="D205" s="2" t="s">
        <v>0</v>
      </c>
      <c r="E205" s="16">
        <v>46021</v>
      </c>
      <c r="F205" s="2" t="s">
        <v>20</v>
      </c>
      <c r="G205" s="17">
        <v>30000</v>
      </c>
      <c r="H205" s="17">
        <v>3821.35</v>
      </c>
      <c r="I205" s="17">
        <v>3822.65</v>
      </c>
      <c r="J205" s="17">
        <v>3750</v>
      </c>
      <c r="K205" s="17">
        <v>3797.85</v>
      </c>
      <c r="L205" s="17">
        <v>3803.1</v>
      </c>
      <c r="M205" s="21">
        <v>3801</v>
      </c>
      <c r="N205" s="2">
        <v>-2.1</v>
      </c>
      <c r="O205" s="2">
        <v>-0.06</v>
      </c>
      <c r="P205" s="2">
        <v>118</v>
      </c>
      <c r="Q205" s="2">
        <v>335.13</v>
      </c>
      <c r="R205" s="20"/>
    </row>
    <row r="206" spans="3:18" ht="21" thickBot="1">
      <c r="C206" s="2"/>
      <c r="D206" s="2" t="s">
        <v>0</v>
      </c>
      <c r="E206" s="16">
        <v>46021</v>
      </c>
      <c r="F206" s="2" t="s">
        <v>1</v>
      </c>
      <c r="G206" s="17">
        <v>31000</v>
      </c>
      <c r="H206" s="2">
        <v>0.45</v>
      </c>
      <c r="I206" s="2">
        <v>0.45</v>
      </c>
      <c r="J206" s="2">
        <v>0.3</v>
      </c>
      <c r="K206" s="2">
        <v>0.35</v>
      </c>
      <c r="L206" s="2">
        <v>0.45</v>
      </c>
      <c r="M206" s="18">
        <v>0.3</v>
      </c>
      <c r="N206" s="2">
        <v>-0.15</v>
      </c>
      <c r="O206" s="2">
        <v>-33.33</v>
      </c>
      <c r="P206" s="19">
        <v>71758</v>
      </c>
      <c r="Q206" s="2">
        <v>18.84</v>
      </c>
      <c r="R206" s="20"/>
    </row>
    <row r="207" spans="3:18" ht="21" thickBot="1">
      <c r="C207" s="2"/>
      <c r="D207" s="2" t="s">
        <v>0</v>
      </c>
      <c r="E207" s="16">
        <v>46021</v>
      </c>
      <c r="F207" s="2" t="s">
        <v>20</v>
      </c>
      <c r="G207" s="17">
        <v>31000</v>
      </c>
      <c r="H207" s="17">
        <v>4940</v>
      </c>
      <c r="I207" s="17">
        <v>5045</v>
      </c>
      <c r="J207" s="17">
        <v>4940</v>
      </c>
      <c r="K207" s="17">
        <v>5045</v>
      </c>
      <c r="L207" s="17">
        <v>4829.95</v>
      </c>
      <c r="M207" s="21">
        <v>5045</v>
      </c>
      <c r="N207" s="2">
        <v>215.05</v>
      </c>
      <c r="O207" s="2">
        <v>4.45</v>
      </c>
      <c r="P207" s="2">
        <v>6</v>
      </c>
      <c r="Q207" s="2">
        <v>22.53</v>
      </c>
      <c r="R207" s="20"/>
    </row>
    <row r="208" spans="3:18" ht="21" thickBot="1">
      <c r="C208" s="2"/>
      <c r="D208" s="2" t="s">
        <v>0</v>
      </c>
      <c r="E208" s="16">
        <v>46021</v>
      </c>
      <c r="F208" s="2" t="s">
        <v>1</v>
      </c>
      <c r="G208" s="17">
        <v>31000</v>
      </c>
      <c r="H208" s="2">
        <v>0.55000000000000004</v>
      </c>
      <c r="I208" s="2">
        <v>0.55000000000000004</v>
      </c>
      <c r="J208" s="2">
        <v>0.4</v>
      </c>
      <c r="K208" s="2">
        <v>0.45</v>
      </c>
      <c r="L208" s="2">
        <v>0.55000000000000004</v>
      </c>
      <c r="M208" s="18">
        <v>0.4</v>
      </c>
      <c r="N208" s="2">
        <v>-0.15</v>
      </c>
      <c r="O208" s="2">
        <v>-27.27</v>
      </c>
      <c r="P208" s="19">
        <v>32561</v>
      </c>
      <c r="Q208" s="2">
        <v>11.48</v>
      </c>
      <c r="R208" s="20"/>
    </row>
    <row r="209" spans="3:18" ht="21" thickBot="1">
      <c r="C209" s="2"/>
      <c r="D209" s="2" t="s">
        <v>0</v>
      </c>
      <c r="E209" s="16">
        <v>46021</v>
      </c>
      <c r="F209" s="2" t="s">
        <v>1</v>
      </c>
      <c r="G209" s="17">
        <v>31000</v>
      </c>
      <c r="H209" s="2">
        <v>0.7</v>
      </c>
      <c r="I209" s="2">
        <v>0.8</v>
      </c>
      <c r="J209" s="2">
        <v>0.45</v>
      </c>
      <c r="K209" s="2">
        <v>0.55000000000000004</v>
      </c>
      <c r="L209" s="2">
        <v>0.65</v>
      </c>
      <c r="M209" s="18">
        <v>0.5</v>
      </c>
      <c r="N209" s="2">
        <v>-0.15</v>
      </c>
      <c r="O209" s="2">
        <v>-23.08</v>
      </c>
      <c r="P209" s="19">
        <v>33314</v>
      </c>
      <c r="Q209" s="2">
        <v>15.24</v>
      </c>
      <c r="R209" s="20"/>
    </row>
    <row r="210" spans="3:18" ht="21" thickBot="1">
      <c r="C210" s="2"/>
      <c r="D210" s="2" t="s">
        <v>0</v>
      </c>
      <c r="E210" s="16">
        <v>46021</v>
      </c>
      <c r="F210" s="2" t="s">
        <v>20</v>
      </c>
      <c r="G210" s="17">
        <v>31000</v>
      </c>
      <c r="H210" s="17">
        <v>4797.3</v>
      </c>
      <c r="I210" s="17">
        <v>4830</v>
      </c>
      <c r="J210" s="17">
        <v>4797.3</v>
      </c>
      <c r="K210" s="17">
        <v>4829.95</v>
      </c>
      <c r="L210" s="17">
        <v>4820</v>
      </c>
      <c r="M210" s="21">
        <v>4829.75</v>
      </c>
      <c r="N210" s="2">
        <v>9.75</v>
      </c>
      <c r="O210" s="2">
        <v>0.2</v>
      </c>
      <c r="P210" s="2">
        <v>14</v>
      </c>
      <c r="Q210" s="2">
        <v>50.62</v>
      </c>
      <c r="R210" s="20"/>
    </row>
    <row r="211" spans="3:18" ht="21" thickBot="1">
      <c r="C211" s="2"/>
      <c r="D211" s="2" t="s">
        <v>0</v>
      </c>
      <c r="E211" s="16">
        <v>46021</v>
      </c>
      <c r="F211" s="2" t="s">
        <v>1</v>
      </c>
      <c r="G211" s="17">
        <v>31000</v>
      </c>
      <c r="H211" s="2">
        <v>0.6</v>
      </c>
      <c r="I211" s="2">
        <v>0.65</v>
      </c>
      <c r="J211" s="2">
        <v>0.55000000000000004</v>
      </c>
      <c r="K211" s="2">
        <v>0.65</v>
      </c>
      <c r="L211" s="2">
        <v>0.6</v>
      </c>
      <c r="M211" s="18">
        <v>0.65</v>
      </c>
      <c r="N211" s="2">
        <v>0.05</v>
      </c>
      <c r="O211" s="2">
        <v>8.33</v>
      </c>
      <c r="P211" s="19">
        <v>2727</v>
      </c>
      <c r="Q211" s="2">
        <v>1.27</v>
      </c>
      <c r="R211" s="20"/>
    </row>
    <row r="212" spans="3:18" ht="21" thickBot="1">
      <c r="C212" s="2"/>
      <c r="D212" s="2" t="s">
        <v>0</v>
      </c>
      <c r="E212" s="16">
        <v>46021</v>
      </c>
      <c r="F212" s="2" t="s">
        <v>20</v>
      </c>
      <c r="G212" s="17">
        <v>31000</v>
      </c>
      <c r="H212" s="17">
        <v>4820</v>
      </c>
      <c r="I212" s="17">
        <v>4820</v>
      </c>
      <c r="J212" s="17">
        <v>4807.6000000000004</v>
      </c>
      <c r="K212" s="17">
        <v>4820</v>
      </c>
      <c r="L212" s="17">
        <v>4820</v>
      </c>
      <c r="M212" s="21">
        <v>4820</v>
      </c>
      <c r="N212" s="2">
        <v>0</v>
      </c>
      <c r="O212" s="2">
        <v>0</v>
      </c>
      <c r="P212" s="2">
        <v>4</v>
      </c>
      <c r="Q212" s="2">
        <v>14.45</v>
      </c>
      <c r="R212" s="20"/>
    </row>
    <row r="213" spans="3:18" ht="15" thickBot="1">
      <c r="C213" s="2"/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63"/>
      <c r="R213" s="1"/>
    </row>
  </sheetData>
  <autoFilter ref="D1:Q1" xr:uid="{00000000-0009-0000-0000-000001000000}">
    <sortState xmlns:xlrd2="http://schemas.microsoft.com/office/spreadsheetml/2017/richdata2" ref="D2:Q213">
      <sortCondition ref="G1"/>
    </sortState>
  </autoFilter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AB37"/>
  <sheetViews>
    <sheetView zoomScale="85" zoomScaleNormal="85" workbookViewId="0">
      <pane ySplit="1" topLeftCell="A11" activePane="bottomLeft" state="frozen"/>
      <selection pane="bottomLeft" activeCell="Y16" sqref="Y16"/>
    </sheetView>
  </sheetViews>
  <sheetFormatPr defaultRowHeight="14.4"/>
  <cols>
    <col min="1" max="1" width="10.6640625" customWidth="1"/>
    <col min="2" max="2" width="12.44140625" customWidth="1"/>
    <col min="3" max="3" width="10.6640625" customWidth="1"/>
    <col min="4" max="4" width="12.44140625" style="28" customWidth="1"/>
    <col min="5" max="8" width="10.6640625" style="28" customWidth="1"/>
    <col min="9" max="10" width="10.6640625" customWidth="1"/>
    <col min="11" max="11" width="13.109375" customWidth="1"/>
    <col min="12" max="12" width="12.6640625" customWidth="1"/>
    <col min="13" max="19" width="10.6640625" customWidth="1"/>
    <col min="20" max="20" width="14.6640625" customWidth="1"/>
    <col min="21" max="21" width="10.6640625" customWidth="1"/>
    <col min="24" max="24" width="12.44140625" customWidth="1"/>
  </cols>
  <sheetData>
    <row r="1" spans="1:28" ht="43.2" customHeight="1">
      <c r="A1" s="44" t="s">
        <v>2</v>
      </c>
      <c r="B1" s="44" t="s">
        <v>4</v>
      </c>
      <c r="C1" s="44" t="s">
        <v>6</v>
      </c>
      <c r="D1" s="45" t="s">
        <v>7</v>
      </c>
      <c r="E1" s="45" t="s">
        <v>8</v>
      </c>
      <c r="F1" s="46" t="s">
        <v>9</v>
      </c>
      <c r="G1" s="47" t="s">
        <v>10</v>
      </c>
      <c r="H1" s="48" t="s">
        <v>11</v>
      </c>
      <c r="I1" s="22" t="s">
        <v>28</v>
      </c>
      <c r="J1" s="24" t="s">
        <v>21</v>
      </c>
      <c r="K1" s="25" t="s">
        <v>22</v>
      </c>
      <c r="L1" s="25" t="s">
        <v>23</v>
      </c>
      <c r="M1" s="25" t="s">
        <v>24</v>
      </c>
      <c r="N1" s="25" t="s">
        <v>25</v>
      </c>
      <c r="O1" s="23" t="s">
        <v>26</v>
      </c>
      <c r="P1" s="23" t="s">
        <v>27</v>
      </c>
      <c r="Q1" s="40" t="s">
        <v>33</v>
      </c>
      <c r="R1" s="40" t="s">
        <v>29</v>
      </c>
      <c r="S1" s="40" t="s">
        <v>30</v>
      </c>
      <c r="T1" s="40" t="s">
        <v>31</v>
      </c>
      <c r="U1" s="40" t="s">
        <v>32</v>
      </c>
    </row>
    <row r="2" spans="1:28" ht="29.4" thickBot="1">
      <c r="A2" s="90" t="s">
        <v>0</v>
      </c>
      <c r="B2" s="91">
        <v>46161</v>
      </c>
      <c r="C2" s="90" t="s">
        <v>20</v>
      </c>
      <c r="D2" s="92">
        <v>23200</v>
      </c>
      <c r="E2" s="90">
        <v>3.7</v>
      </c>
      <c r="F2" s="90">
        <v>4.55</v>
      </c>
      <c r="G2" s="90">
        <v>1.9</v>
      </c>
      <c r="H2" s="90">
        <v>3.7</v>
      </c>
      <c r="I2" s="43">
        <f>(H2+H3)/2</f>
        <v>226</v>
      </c>
      <c r="Q2" s="12">
        <f>(H2/4)</f>
        <v>0.92500000000000004</v>
      </c>
      <c r="R2" s="12"/>
      <c r="S2" s="12"/>
      <c r="T2" s="12"/>
      <c r="U2" s="12"/>
      <c r="V2" s="41">
        <v>1</v>
      </c>
    </row>
    <row r="3" spans="1:28" ht="29.4" thickBot="1">
      <c r="A3" s="90" t="s">
        <v>0</v>
      </c>
      <c r="B3" s="91">
        <v>46161</v>
      </c>
      <c r="C3" s="90" t="s">
        <v>1</v>
      </c>
      <c r="D3" s="92">
        <v>23200</v>
      </c>
      <c r="E3" s="90">
        <v>448.3</v>
      </c>
      <c r="F3" s="90">
        <v>557.29999999999995</v>
      </c>
      <c r="G3" s="90">
        <v>448.3</v>
      </c>
      <c r="H3" s="90">
        <v>448.3</v>
      </c>
      <c r="I3" s="43">
        <f>(H2+H3)/2</f>
        <v>226</v>
      </c>
      <c r="Q3" s="12">
        <f>(H3)/4</f>
        <v>112.075</v>
      </c>
      <c r="R3" s="12">
        <f>((H3/100)*90)</f>
        <v>403.47</v>
      </c>
      <c r="S3" s="12">
        <f>(H3-R3)</f>
        <v>44.829999999999984</v>
      </c>
      <c r="T3" s="12">
        <f>((H3/100)*99)</f>
        <v>443.81700000000006</v>
      </c>
      <c r="U3" s="12">
        <f>(H3-T3)</f>
        <v>4.4829999999999472</v>
      </c>
      <c r="V3" s="41">
        <v>2</v>
      </c>
    </row>
    <row r="4" spans="1:28" ht="29.4" thickBot="1">
      <c r="A4" s="90" t="s">
        <v>0</v>
      </c>
      <c r="B4" s="91">
        <v>46161</v>
      </c>
      <c r="C4" s="90" t="s">
        <v>20</v>
      </c>
      <c r="D4" s="92">
        <v>23250</v>
      </c>
      <c r="E4" s="90">
        <v>3.7</v>
      </c>
      <c r="F4" s="90">
        <v>7</v>
      </c>
      <c r="G4" s="90">
        <v>1.5</v>
      </c>
      <c r="H4" s="90">
        <v>3.7</v>
      </c>
      <c r="I4" s="43">
        <f>(H4+H5)/2</f>
        <v>216.9</v>
      </c>
      <c r="Q4" s="12">
        <f>(H4/4)</f>
        <v>0.92500000000000004</v>
      </c>
      <c r="R4" s="12">
        <f t="shared" ref="R4:R37" si="0">((H4/100)*90)</f>
        <v>3.3300000000000005</v>
      </c>
      <c r="S4" s="12">
        <f t="shared" ref="S4:S37" si="1">(H4-R4)</f>
        <v>0.36999999999999966</v>
      </c>
      <c r="T4" s="12">
        <f t="shared" ref="T4:T37" si="2">((H4/100)*99)</f>
        <v>3.6630000000000007</v>
      </c>
      <c r="U4" s="12">
        <f t="shared" ref="U4:U37" si="3">(H4-T4)</f>
        <v>3.6999999999999478E-2</v>
      </c>
      <c r="V4" s="41">
        <v>3</v>
      </c>
    </row>
    <row r="5" spans="1:28" ht="29.4" thickBot="1">
      <c r="A5" s="90" t="s">
        <v>0</v>
      </c>
      <c r="B5" s="91">
        <v>46161</v>
      </c>
      <c r="C5" s="90" t="s">
        <v>1</v>
      </c>
      <c r="D5" s="92">
        <v>23250</v>
      </c>
      <c r="E5" s="90">
        <v>430.1</v>
      </c>
      <c r="F5" s="90">
        <v>507.9</v>
      </c>
      <c r="G5" s="90">
        <v>430.1</v>
      </c>
      <c r="H5" s="90">
        <v>430.1</v>
      </c>
      <c r="I5" s="43">
        <f>(H4+H5)/2</f>
        <v>216.9</v>
      </c>
      <c r="Q5" s="12">
        <f>(H5)/4</f>
        <v>107.52500000000001</v>
      </c>
      <c r="R5" s="12">
        <f t="shared" si="0"/>
        <v>387.09000000000003</v>
      </c>
      <c r="S5" s="12">
        <f t="shared" si="1"/>
        <v>43.009999999999991</v>
      </c>
      <c r="T5" s="12">
        <f t="shared" si="2"/>
        <v>425.79900000000004</v>
      </c>
      <c r="U5" s="12">
        <f t="shared" si="3"/>
        <v>4.3009999999999877</v>
      </c>
      <c r="V5" s="41">
        <v>4</v>
      </c>
    </row>
    <row r="6" spans="1:28" ht="29.4" thickBot="1">
      <c r="A6" s="90" t="s">
        <v>0</v>
      </c>
      <c r="B6" s="91">
        <v>46161</v>
      </c>
      <c r="C6" s="90" t="s">
        <v>20</v>
      </c>
      <c r="D6" s="92">
        <v>23300</v>
      </c>
      <c r="E6" s="90">
        <v>6.85</v>
      </c>
      <c r="F6" s="90">
        <v>8.4499999999999993</v>
      </c>
      <c r="G6" s="90">
        <v>2.75</v>
      </c>
      <c r="H6" s="90">
        <v>6.85</v>
      </c>
      <c r="I6" s="43">
        <f>(H6+H7)/2</f>
        <v>187.72500000000002</v>
      </c>
      <c r="Q6" s="12">
        <f>(H6/4)</f>
        <v>1.7124999999999999</v>
      </c>
      <c r="R6" s="12">
        <f t="shared" si="0"/>
        <v>6.1649999999999991</v>
      </c>
      <c r="S6" s="12">
        <f t="shared" si="1"/>
        <v>0.6850000000000005</v>
      </c>
      <c r="T6" s="12">
        <f t="shared" si="2"/>
        <v>6.7814999999999994</v>
      </c>
      <c r="U6" s="12">
        <f t="shared" si="3"/>
        <v>6.8500000000000227E-2</v>
      </c>
      <c r="V6" s="41">
        <v>5</v>
      </c>
    </row>
    <row r="7" spans="1:28" ht="29.4" thickBot="1">
      <c r="A7" s="90" t="s">
        <v>0</v>
      </c>
      <c r="B7" s="91">
        <v>46161</v>
      </c>
      <c r="C7" s="90" t="s">
        <v>1</v>
      </c>
      <c r="D7" s="92">
        <v>23300</v>
      </c>
      <c r="E7" s="90">
        <v>368.6</v>
      </c>
      <c r="F7" s="90">
        <v>456.95</v>
      </c>
      <c r="G7" s="90">
        <v>364.45</v>
      </c>
      <c r="H7" s="90">
        <v>368.6</v>
      </c>
      <c r="I7" s="43">
        <f>(H6+H7)/2</f>
        <v>187.72500000000002</v>
      </c>
      <c r="Q7" s="12">
        <f>(H7)/4</f>
        <v>92.15</v>
      </c>
      <c r="R7" s="12">
        <f t="shared" si="0"/>
        <v>331.74</v>
      </c>
      <c r="S7" s="12">
        <f t="shared" si="1"/>
        <v>36.860000000000014</v>
      </c>
      <c r="T7" s="12">
        <f t="shared" si="2"/>
        <v>364.91400000000004</v>
      </c>
      <c r="U7" s="12">
        <f t="shared" si="3"/>
        <v>3.6859999999999786</v>
      </c>
      <c r="V7" s="41">
        <v>6</v>
      </c>
    </row>
    <row r="8" spans="1:28" ht="29.4" thickBot="1">
      <c r="A8" s="90" t="s">
        <v>0</v>
      </c>
      <c r="B8" s="91">
        <v>46161</v>
      </c>
      <c r="C8" s="90" t="s">
        <v>20</v>
      </c>
      <c r="D8" s="92">
        <v>23350</v>
      </c>
      <c r="E8" s="90">
        <v>8.8000000000000007</v>
      </c>
      <c r="F8" s="90">
        <v>9.9</v>
      </c>
      <c r="G8" s="90">
        <v>3.55</v>
      </c>
      <c r="H8" s="90">
        <v>8.8000000000000007</v>
      </c>
      <c r="I8" s="30">
        <f>(H8+H9)/2</f>
        <v>162.9</v>
      </c>
      <c r="J8" s="30">
        <f>(H13+H4)/2</f>
        <v>121.85</v>
      </c>
      <c r="K8" s="26">
        <f>(H10+H7)/2</f>
        <v>191.8</v>
      </c>
      <c r="L8" s="26">
        <f>(H12+H5)/2</f>
        <v>224.95000000000002</v>
      </c>
      <c r="M8" s="26">
        <f>(H14+H3)/2</f>
        <v>236.55</v>
      </c>
      <c r="N8" s="26"/>
      <c r="O8" s="26">
        <f>(H15+H2)/2</f>
        <v>92.35</v>
      </c>
      <c r="P8" s="37"/>
      <c r="Q8" s="12">
        <f>(H8/4)</f>
        <v>2.2000000000000002</v>
      </c>
      <c r="R8" s="12">
        <f t="shared" si="0"/>
        <v>7.9200000000000008</v>
      </c>
      <c r="S8" s="12">
        <f t="shared" si="1"/>
        <v>0.87999999999999989</v>
      </c>
      <c r="T8" s="12">
        <f t="shared" si="2"/>
        <v>8.7120000000000015</v>
      </c>
      <c r="U8" s="12">
        <f t="shared" si="3"/>
        <v>8.799999999999919E-2</v>
      </c>
      <c r="V8" s="41">
        <v>7</v>
      </c>
    </row>
    <row r="9" spans="1:28" ht="29.4" thickBot="1">
      <c r="A9" s="90" t="s">
        <v>0</v>
      </c>
      <c r="B9" s="91">
        <v>46161</v>
      </c>
      <c r="C9" s="90" t="s">
        <v>1</v>
      </c>
      <c r="D9" s="92">
        <v>23350</v>
      </c>
      <c r="E9" s="90">
        <v>317</v>
      </c>
      <c r="F9" s="90">
        <v>407.45</v>
      </c>
      <c r="G9" s="90">
        <v>302.05</v>
      </c>
      <c r="H9" s="90">
        <v>317</v>
      </c>
      <c r="I9" s="30">
        <f>(H8+H9)/2</f>
        <v>162.9</v>
      </c>
      <c r="J9" s="30">
        <f>(H13+H4)/2</f>
        <v>121.85</v>
      </c>
      <c r="K9" s="26">
        <f>(H10+H7)/2</f>
        <v>191.8</v>
      </c>
      <c r="L9" s="26">
        <f>(H12+H5)/2</f>
        <v>224.95000000000002</v>
      </c>
      <c r="M9" s="26">
        <f>(H14+H3)/2</f>
        <v>236.55</v>
      </c>
      <c r="N9" s="26"/>
      <c r="O9" s="26">
        <f>(H15+H2)/2</f>
        <v>92.35</v>
      </c>
      <c r="P9" s="37"/>
      <c r="Q9" s="12">
        <f>(H9)/4</f>
        <v>79.25</v>
      </c>
      <c r="R9" s="12">
        <f t="shared" si="0"/>
        <v>285.3</v>
      </c>
      <c r="S9" s="12">
        <f t="shared" si="1"/>
        <v>31.699999999999989</v>
      </c>
      <c r="T9" s="12">
        <f t="shared" si="2"/>
        <v>313.83</v>
      </c>
      <c r="U9" s="12">
        <f t="shared" si="3"/>
        <v>3.1700000000000159</v>
      </c>
      <c r="V9" s="41">
        <v>8</v>
      </c>
    </row>
    <row r="10" spans="1:28" ht="29.4" thickBot="1">
      <c r="A10" s="90" t="s">
        <v>0</v>
      </c>
      <c r="B10" s="91">
        <v>46161</v>
      </c>
      <c r="C10" s="90" t="s">
        <v>20</v>
      </c>
      <c r="D10" s="92">
        <v>23400</v>
      </c>
      <c r="E10" s="90">
        <v>15</v>
      </c>
      <c r="F10" s="90">
        <v>18</v>
      </c>
      <c r="G10" s="90">
        <v>4.7</v>
      </c>
      <c r="H10" s="90">
        <v>15</v>
      </c>
      <c r="I10" s="30">
        <f>(H10+H11)/2</f>
        <v>141.65</v>
      </c>
      <c r="J10" s="30">
        <f>(H15+H6)/2</f>
        <v>93.924999999999997</v>
      </c>
      <c r="K10" s="26">
        <f>(H12+H9)/2</f>
        <v>168.4</v>
      </c>
      <c r="L10" s="26">
        <f>(H14+H7)/2</f>
        <v>196.70000000000002</v>
      </c>
      <c r="M10" s="26">
        <f>(H16+H5)/2</f>
        <v>232.95000000000002</v>
      </c>
      <c r="N10" s="26">
        <f>(H18+H3)/2</f>
        <v>244.05</v>
      </c>
      <c r="O10" s="26">
        <f>(H17+H4)/2</f>
        <v>76.849999999999994</v>
      </c>
      <c r="P10" s="37">
        <f>(H19+H2)/2</f>
        <v>70.474999999999994</v>
      </c>
      <c r="Q10" s="12">
        <f>(H10/4)</f>
        <v>3.75</v>
      </c>
      <c r="R10" s="12">
        <f t="shared" si="0"/>
        <v>13.5</v>
      </c>
      <c r="S10" s="12">
        <f t="shared" si="1"/>
        <v>1.5</v>
      </c>
      <c r="T10" s="12">
        <f t="shared" si="2"/>
        <v>14.85</v>
      </c>
      <c r="U10" s="12">
        <f t="shared" si="3"/>
        <v>0.15000000000000036</v>
      </c>
      <c r="V10" s="41">
        <v>9</v>
      </c>
    </row>
    <row r="11" spans="1:28" ht="29.4" thickBot="1">
      <c r="A11" s="90" t="s">
        <v>0</v>
      </c>
      <c r="B11" s="91">
        <v>46161</v>
      </c>
      <c r="C11" s="90" t="s">
        <v>1</v>
      </c>
      <c r="D11" s="92">
        <v>23400</v>
      </c>
      <c r="E11" s="90">
        <v>268.3</v>
      </c>
      <c r="F11" s="90">
        <v>359</v>
      </c>
      <c r="G11" s="90">
        <v>251.75</v>
      </c>
      <c r="H11" s="90">
        <v>268.3</v>
      </c>
      <c r="I11" s="30">
        <f>(H10+H11)/2</f>
        <v>141.65</v>
      </c>
      <c r="J11" s="30">
        <f>(H15+H6)/2</f>
        <v>93.924999999999997</v>
      </c>
      <c r="K11" s="26">
        <f>(H12+H9)/2</f>
        <v>168.4</v>
      </c>
      <c r="L11" s="26">
        <f>(H14+H7)/2</f>
        <v>196.70000000000002</v>
      </c>
      <c r="M11" s="26">
        <f>(H16+H5)/2</f>
        <v>232.95000000000002</v>
      </c>
      <c r="N11" s="26">
        <f>(H18+H3)/2</f>
        <v>244.05</v>
      </c>
      <c r="O11" s="26">
        <f>(H17+H4)/2</f>
        <v>76.849999999999994</v>
      </c>
      <c r="P11" s="37">
        <f>(H19+H2)/2</f>
        <v>70.474999999999994</v>
      </c>
      <c r="Q11" s="12">
        <f>(H11)/4</f>
        <v>67.075000000000003</v>
      </c>
      <c r="R11" s="12">
        <f t="shared" si="0"/>
        <v>241.47000000000003</v>
      </c>
      <c r="S11" s="12">
        <f t="shared" si="1"/>
        <v>26.829999999999984</v>
      </c>
      <c r="T11" s="12">
        <f t="shared" si="2"/>
        <v>265.61700000000002</v>
      </c>
      <c r="U11" s="12">
        <f t="shared" si="3"/>
        <v>2.6829999999999927</v>
      </c>
      <c r="V11" s="41">
        <v>10</v>
      </c>
    </row>
    <row r="12" spans="1:28" ht="29.4" thickBot="1">
      <c r="A12" s="90" t="s">
        <v>0</v>
      </c>
      <c r="B12" s="91">
        <v>46161</v>
      </c>
      <c r="C12" s="90" t="s">
        <v>20</v>
      </c>
      <c r="D12" s="92">
        <v>23450</v>
      </c>
      <c r="E12" s="90">
        <v>19.8</v>
      </c>
      <c r="F12" s="90">
        <v>23.9</v>
      </c>
      <c r="G12" s="90">
        <v>6.3</v>
      </c>
      <c r="H12" s="90">
        <v>19.8</v>
      </c>
      <c r="I12" s="30">
        <f>(H12+H13)/2</f>
        <v>129.9</v>
      </c>
      <c r="J12" s="30">
        <f>(H17+H8)/2</f>
        <v>79.400000000000006</v>
      </c>
      <c r="K12" s="26">
        <f>(H14+H11)/2</f>
        <v>146.55000000000001</v>
      </c>
      <c r="L12" s="26">
        <f>(H16+H9)/2</f>
        <v>176.4</v>
      </c>
      <c r="M12" s="26">
        <f>(H18+H7)/2</f>
        <v>204.20000000000002</v>
      </c>
      <c r="N12" s="26">
        <f>(H20+H5)/2</f>
        <v>262.25</v>
      </c>
      <c r="O12" s="26">
        <f>(H19+H6)/2</f>
        <v>72.05</v>
      </c>
      <c r="P12" s="37">
        <f>(H21+H4)/2</f>
        <v>60</v>
      </c>
      <c r="Q12" s="12">
        <f>(H12/4)</f>
        <v>4.95</v>
      </c>
      <c r="R12" s="12">
        <f t="shared" si="0"/>
        <v>17.82</v>
      </c>
      <c r="S12" s="12">
        <f t="shared" si="1"/>
        <v>1.9800000000000004</v>
      </c>
      <c r="T12" s="12">
        <f t="shared" si="2"/>
        <v>19.602</v>
      </c>
      <c r="U12" s="12">
        <f t="shared" si="3"/>
        <v>0.1980000000000004</v>
      </c>
      <c r="V12" s="41">
        <v>11</v>
      </c>
      <c r="W12" s="72" t="s">
        <v>1</v>
      </c>
      <c r="X12" s="45" t="s">
        <v>7</v>
      </c>
      <c r="Y12" s="72" t="s">
        <v>20</v>
      </c>
      <c r="Z12" s="79"/>
      <c r="AB12" t="s">
        <v>36</v>
      </c>
    </row>
    <row r="13" spans="1:28" ht="29.4" thickBot="1">
      <c r="A13" s="90" t="s">
        <v>0</v>
      </c>
      <c r="B13" s="91">
        <v>46161</v>
      </c>
      <c r="C13" s="90" t="s">
        <v>1</v>
      </c>
      <c r="D13" s="92">
        <v>23450</v>
      </c>
      <c r="E13" s="90">
        <v>240</v>
      </c>
      <c r="F13" s="90">
        <v>310.89999999999998</v>
      </c>
      <c r="G13" s="90">
        <v>206.4</v>
      </c>
      <c r="H13" s="90">
        <v>240</v>
      </c>
      <c r="I13" s="30">
        <f>(H12+H13)/2</f>
        <v>129.9</v>
      </c>
      <c r="J13" s="30">
        <f>(H17+H8)/2</f>
        <v>79.400000000000006</v>
      </c>
      <c r="K13" s="26">
        <f>(H14+H11)/2</f>
        <v>146.55000000000001</v>
      </c>
      <c r="L13" s="26">
        <f>(H16+H9)/2</f>
        <v>176.4</v>
      </c>
      <c r="M13" s="26">
        <f>(H18+H7)/2</f>
        <v>204.20000000000002</v>
      </c>
      <c r="N13" s="26">
        <f>(H20+H5)/2</f>
        <v>262.25</v>
      </c>
      <c r="O13" s="26">
        <f>(H19+H6)/2</f>
        <v>72.05</v>
      </c>
      <c r="P13" s="37">
        <f>(H21+H4)/2</f>
        <v>60</v>
      </c>
      <c r="Q13" s="12">
        <f>(H13)/4</f>
        <v>60</v>
      </c>
      <c r="R13" s="12">
        <f t="shared" si="0"/>
        <v>216</v>
      </c>
      <c r="S13" s="12">
        <f t="shared" si="1"/>
        <v>24</v>
      </c>
      <c r="T13" s="12">
        <f t="shared" si="2"/>
        <v>237.6</v>
      </c>
      <c r="U13" s="12">
        <f t="shared" si="3"/>
        <v>2.4000000000000057</v>
      </c>
      <c r="V13" s="41">
        <v>12</v>
      </c>
      <c r="W13" s="81"/>
      <c r="X13" s="80">
        <v>23950</v>
      </c>
      <c r="Y13" s="81"/>
      <c r="Z13" s="79"/>
      <c r="AB13" s="26"/>
    </row>
    <row r="14" spans="1:28" ht="29.4" thickBot="1">
      <c r="A14" s="90" t="s">
        <v>0</v>
      </c>
      <c r="B14" s="91">
        <v>46161</v>
      </c>
      <c r="C14" s="90" t="s">
        <v>20</v>
      </c>
      <c r="D14" s="92">
        <v>23500</v>
      </c>
      <c r="E14" s="90">
        <v>24.8</v>
      </c>
      <c r="F14" s="90">
        <v>38.450000000000003</v>
      </c>
      <c r="G14" s="90">
        <v>9.1</v>
      </c>
      <c r="H14" s="90">
        <v>24.8</v>
      </c>
      <c r="I14" s="30">
        <f>(H14+H15)/2</f>
        <v>102.9</v>
      </c>
      <c r="J14" s="30">
        <f>(H19+H10)/2</f>
        <v>76.125</v>
      </c>
      <c r="K14" s="26">
        <f>(H16+H13)/2</f>
        <v>137.9</v>
      </c>
      <c r="L14" s="26">
        <f>(H18+H11)/2</f>
        <v>154.05000000000001</v>
      </c>
      <c r="M14" s="26">
        <f>(H20+H9)/2</f>
        <v>205.7</v>
      </c>
      <c r="N14" s="26">
        <f>(H23+H7)/2</f>
        <v>238.4</v>
      </c>
      <c r="O14" s="26">
        <f>(H21+H8)/2</f>
        <v>62.55</v>
      </c>
      <c r="P14" s="37">
        <f>(H22+H6)/2</f>
        <v>45.15</v>
      </c>
      <c r="Q14" s="12">
        <f>(H14/4)</f>
        <v>6.2</v>
      </c>
      <c r="R14" s="12">
        <f t="shared" si="0"/>
        <v>22.32</v>
      </c>
      <c r="S14" s="12">
        <f t="shared" si="1"/>
        <v>2.4800000000000004</v>
      </c>
      <c r="T14" s="12">
        <f t="shared" si="2"/>
        <v>24.552</v>
      </c>
      <c r="U14" s="12">
        <f t="shared" si="3"/>
        <v>0.24800000000000111</v>
      </c>
      <c r="V14" s="41">
        <v>13</v>
      </c>
      <c r="W14" s="81"/>
      <c r="X14" s="80">
        <v>24000</v>
      </c>
      <c r="Y14" s="81"/>
      <c r="Z14" s="79"/>
      <c r="AB14" s="26"/>
    </row>
    <row r="15" spans="1:28" ht="29.4" thickBot="1">
      <c r="A15" s="90" t="s">
        <v>0</v>
      </c>
      <c r="B15" s="91">
        <v>46161</v>
      </c>
      <c r="C15" s="90" t="s">
        <v>1</v>
      </c>
      <c r="D15" s="92">
        <v>23500</v>
      </c>
      <c r="E15" s="90">
        <v>181</v>
      </c>
      <c r="F15" s="90">
        <v>264.39999999999998</v>
      </c>
      <c r="G15" s="90">
        <v>170</v>
      </c>
      <c r="H15" s="90">
        <v>181</v>
      </c>
      <c r="I15" s="30">
        <f>(H14+H15)/2</f>
        <v>102.9</v>
      </c>
      <c r="J15" s="30">
        <f>(H19+H10)/2</f>
        <v>76.125</v>
      </c>
      <c r="K15" s="26">
        <f>(H16+H13)/2</f>
        <v>137.9</v>
      </c>
      <c r="L15" s="26">
        <f>(H18+H11)/2</f>
        <v>154.05000000000001</v>
      </c>
      <c r="M15" s="26">
        <f>(H20+H9)/2</f>
        <v>205.7</v>
      </c>
      <c r="N15" s="26">
        <f>(H23+H7)/2</f>
        <v>238.4</v>
      </c>
      <c r="O15" s="26">
        <f>(H21+H8)/2</f>
        <v>62.55</v>
      </c>
      <c r="P15" s="37">
        <f>(H22+H6)/2</f>
        <v>45.15</v>
      </c>
      <c r="Q15" s="12">
        <f>(H15)/4</f>
        <v>45.25</v>
      </c>
      <c r="R15" s="12">
        <f t="shared" si="0"/>
        <v>162.9</v>
      </c>
      <c r="S15" s="12">
        <f t="shared" si="1"/>
        <v>18.099999999999994</v>
      </c>
      <c r="T15" s="12">
        <f t="shared" si="2"/>
        <v>179.19</v>
      </c>
      <c r="U15" s="12">
        <f t="shared" si="3"/>
        <v>1.8100000000000023</v>
      </c>
      <c r="V15" s="41">
        <v>14</v>
      </c>
      <c r="W15" s="81"/>
      <c r="X15" s="80">
        <v>24050</v>
      </c>
      <c r="Y15" s="81"/>
      <c r="Z15" s="79"/>
      <c r="AB15" s="26"/>
    </row>
    <row r="16" spans="1:28" ht="29.4" thickBot="1">
      <c r="A16" s="90" t="s">
        <v>0</v>
      </c>
      <c r="B16" s="91">
        <v>46161</v>
      </c>
      <c r="C16" s="90" t="s">
        <v>20</v>
      </c>
      <c r="D16" s="92">
        <v>23550</v>
      </c>
      <c r="E16" s="90">
        <v>35.799999999999997</v>
      </c>
      <c r="F16" s="90">
        <v>44</v>
      </c>
      <c r="G16" s="90">
        <v>13.15</v>
      </c>
      <c r="H16" s="90">
        <v>35.799999999999997</v>
      </c>
      <c r="I16" s="30">
        <f>(H16+H17)/2</f>
        <v>92.9</v>
      </c>
      <c r="J16" s="30">
        <f>(H21+H12)/2</f>
        <v>68.05</v>
      </c>
      <c r="K16" s="26">
        <f>(H18+H15)/2</f>
        <v>110.4</v>
      </c>
      <c r="L16" s="26">
        <f>(H20+H13)/2</f>
        <v>167.2</v>
      </c>
      <c r="M16" s="26">
        <f>(H23+H11)/2</f>
        <v>188.25</v>
      </c>
      <c r="N16" s="26">
        <f>(H25+H9)/2</f>
        <v>242.92500000000001</v>
      </c>
      <c r="O16" s="26">
        <f>(H22+H10)/2</f>
        <v>49.225000000000001</v>
      </c>
      <c r="P16" s="37">
        <f>(H24+H8)/2</f>
        <v>25.024999999999999</v>
      </c>
      <c r="Q16" s="12">
        <f>(H16/4)</f>
        <v>8.9499999999999993</v>
      </c>
      <c r="R16" s="12">
        <f t="shared" si="0"/>
        <v>32.22</v>
      </c>
      <c r="S16" s="12">
        <f t="shared" si="1"/>
        <v>3.5799999999999983</v>
      </c>
      <c r="T16" s="12">
        <f t="shared" si="2"/>
        <v>35.442</v>
      </c>
      <c r="U16" s="12">
        <f t="shared" si="3"/>
        <v>0.35799999999999699</v>
      </c>
      <c r="V16" s="41">
        <v>15</v>
      </c>
      <c r="W16" s="81"/>
      <c r="X16" s="80">
        <v>24100</v>
      </c>
      <c r="Y16" s="81"/>
      <c r="Z16" s="79"/>
      <c r="AB16" s="26"/>
    </row>
    <row r="17" spans="1:28" ht="29.4" thickBot="1">
      <c r="A17" s="90" t="s">
        <v>0</v>
      </c>
      <c r="B17" s="91">
        <v>46161</v>
      </c>
      <c r="C17" s="90" t="s">
        <v>1</v>
      </c>
      <c r="D17" s="92">
        <v>23550</v>
      </c>
      <c r="E17" s="90">
        <v>150</v>
      </c>
      <c r="F17" s="90">
        <v>218.45</v>
      </c>
      <c r="G17" s="90">
        <v>129.80000000000001</v>
      </c>
      <c r="H17" s="90">
        <v>150</v>
      </c>
      <c r="I17" s="30">
        <f>(H16+H17)/2</f>
        <v>92.9</v>
      </c>
      <c r="J17" s="30">
        <f>(H21+H12)/2</f>
        <v>68.05</v>
      </c>
      <c r="K17" s="26">
        <f>(H18+H15)/2</f>
        <v>110.4</v>
      </c>
      <c r="L17" s="26">
        <f>(H20+H13)/2</f>
        <v>167.2</v>
      </c>
      <c r="M17" s="26">
        <f>(H23+H11)/2</f>
        <v>188.25</v>
      </c>
      <c r="N17" s="26">
        <f>(H25+H9)/2</f>
        <v>242.92500000000001</v>
      </c>
      <c r="O17" s="26">
        <f>(H22+H10)/2</f>
        <v>49.225000000000001</v>
      </c>
      <c r="P17" s="37">
        <f>(H24+H8)/2</f>
        <v>25.024999999999999</v>
      </c>
      <c r="Q17" s="12">
        <f>(H17)/4</f>
        <v>37.5</v>
      </c>
      <c r="R17" s="12">
        <f t="shared" si="0"/>
        <v>135</v>
      </c>
      <c r="S17" s="12">
        <f t="shared" si="1"/>
        <v>15</v>
      </c>
      <c r="T17" s="12">
        <f t="shared" si="2"/>
        <v>148.5</v>
      </c>
      <c r="U17" s="12">
        <f t="shared" si="3"/>
        <v>1.5</v>
      </c>
      <c r="V17" s="41">
        <v>16</v>
      </c>
      <c r="W17" s="81"/>
      <c r="X17" s="80">
        <v>24150</v>
      </c>
      <c r="Y17" s="81"/>
      <c r="Z17" s="79"/>
      <c r="AB17" s="26"/>
    </row>
    <row r="18" spans="1:28" ht="29.4" thickBot="1">
      <c r="A18" s="90" t="s">
        <v>0</v>
      </c>
      <c r="B18" s="91">
        <v>46161</v>
      </c>
      <c r="C18" s="90" t="s">
        <v>20</v>
      </c>
      <c r="D18" s="92">
        <v>23600</v>
      </c>
      <c r="E18" s="90">
        <v>39.799999999999997</v>
      </c>
      <c r="F18" s="90">
        <v>72</v>
      </c>
      <c r="G18" s="90">
        <v>19.7</v>
      </c>
      <c r="H18" s="90">
        <v>39.799999999999997</v>
      </c>
      <c r="I18" s="30">
        <f>(H18+H19)/2</f>
        <v>88.525000000000006</v>
      </c>
      <c r="J18" s="30">
        <f>(H22+H14)/2</f>
        <v>54.125</v>
      </c>
      <c r="K18" s="26">
        <f>(H20+H15)/2</f>
        <v>137.69999999999999</v>
      </c>
      <c r="L18" s="26">
        <f>(H23+H15)/2</f>
        <v>144.6</v>
      </c>
      <c r="M18" s="26">
        <f>(H25+H13)/2</f>
        <v>204.42500000000001</v>
      </c>
      <c r="N18" s="26">
        <f>(H27+H11)/2</f>
        <v>220.15</v>
      </c>
      <c r="O18" s="26">
        <f>(H24+H12)/2</f>
        <v>30.524999999999999</v>
      </c>
      <c r="P18" s="37">
        <f>(H26+H10)/2</f>
        <v>27.15</v>
      </c>
      <c r="Q18" s="12">
        <f>(H18/4)</f>
        <v>9.9499999999999993</v>
      </c>
      <c r="R18" s="12">
        <f t="shared" si="0"/>
        <v>35.82</v>
      </c>
      <c r="S18" s="12">
        <f t="shared" si="1"/>
        <v>3.9799999999999969</v>
      </c>
      <c r="T18" s="12">
        <f t="shared" si="2"/>
        <v>39.401999999999994</v>
      </c>
      <c r="U18" s="12">
        <f t="shared" si="3"/>
        <v>0.39800000000000324</v>
      </c>
      <c r="V18" s="41">
        <v>17</v>
      </c>
      <c r="W18" s="82"/>
      <c r="X18" s="83">
        <v>24200</v>
      </c>
      <c r="Y18" s="82"/>
      <c r="Z18" s="84"/>
      <c r="AA18" s="61"/>
      <c r="AB18" s="13"/>
    </row>
    <row r="19" spans="1:28" ht="29.4" thickBot="1">
      <c r="A19" s="90" t="s">
        <v>0</v>
      </c>
      <c r="B19" s="91">
        <v>46161</v>
      </c>
      <c r="C19" s="90" t="s">
        <v>1</v>
      </c>
      <c r="D19" s="92">
        <v>23600</v>
      </c>
      <c r="E19" s="90">
        <v>137.25</v>
      </c>
      <c r="F19" s="90">
        <v>175</v>
      </c>
      <c r="G19" s="90">
        <v>101.15</v>
      </c>
      <c r="H19" s="90">
        <v>137.25</v>
      </c>
      <c r="I19" s="30">
        <f>(H18+H19)/2</f>
        <v>88.525000000000006</v>
      </c>
      <c r="J19" s="30">
        <f>(H22+H14)/2</f>
        <v>54.125</v>
      </c>
      <c r="K19" s="26">
        <f>(H20+H15)/2</f>
        <v>137.69999999999999</v>
      </c>
      <c r="L19" s="26">
        <f>(H23+H15)/2</f>
        <v>144.6</v>
      </c>
      <c r="M19" s="26">
        <f>(H25+H13)/2</f>
        <v>204.42500000000001</v>
      </c>
      <c r="N19" s="26">
        <f>(H27+H11)/2</f>
        <v>220.15</v>
      </c>
      <c r="O19" s="26">
        <f>(H24+H12)/2</f>
        <v>30.524999999999999</v>
      </c>
      <c r="P19" s="37">
        <f>(H26+H10)/2</f>
        <v>27.15</v>
      </c>
      <c r="Q19" s="12">
        <f>(H19)/4</f>
        <v>34.3125</v>
      </c>
      <c r="R19" s="12">
        <f t="shared" si="0"/>
        <v>123.52500000000001</v>
      </c>
      <c r="S19" s="12">
        <f t="shared" si="1"/>
        <v>13.724999999999994</v>
      </c>
      <c r="T19" s="12">
        <f t="shared" si="2"/>
        <v>135.8775</v>
      </c>
      <c r="U19" s="12">
        <f t="shared" si="3"/>
        <v>1.3725000000000023</v>
      </c>
      <c r="V19" s="41">
        <v>18</v>
      </c>
      <c r="W19" s="81"/>
      <c r="X19" s="80">
        <v>24250</v>
      </c>
      <c r="Y19" s="81"/>
      <c r="Z19" s="79"/>
      <c r="AB19" s="27"/>
    </row>
    <row r="20" spans="1:28" ht="29.4" thickBot="1">
      <c r="A20" s="90" t="s">
        <v>0</v>
      </c>
      <c r="B20" s="91">
        <v>46161</v>
      </c>
      <c r="C20" s="90" t="s">
        <v>20</v>
      </c>
      <c r="D20" s="92">
        <v>23650</v>
      </c>
      <c r="E20" s="90">
        <v>94.4</v>
      </c>
      <c r="F20" s="90">
        <v>94.4</v>
      </c>
      <c r="G20" s="90">
        <v>29.35</v>
      </c>
      <c r="H20" s="90">
        <v>94.4</v>
      </c>
      <c r="I20" s="43">
        <f>(H20+H21)/2</f>
        <v>105.35</v>
      </c>
      <c r="J20">
        <f>(H24+H16)/2</f>
        <v>38.524999999999999</v>
      </c>
      <c r="K20">
        <f>(H23+H19)/2</f>
        <v>122.72499999999999</v>
      </c>
      <c r="L20">
        <f>(H25+H17)/2</f>
        <v>159.42500000000001</v>
      </c>
      <c r="M20">
        <f>(H27+H15)/2</f>
        <v>176.5</v>
      </c>
      <c r="N20">
        <f>(H29+H13)/2</f>
        <v>229.75</v>
      </c>
      <c r="O20">
        <f>(H26+H14)/2</f>
        <v>32.049999999999997</v>
      </c>
      <c r="P20">
        <f>(H28+H12)/2</f>
        <v>24.15</v>
      </c>
      <c r="Q20" s="12">
        <f>(H20/4)</f>
        <v>23.6</v>
      </c>
      <c r="R20" s="12">
        <f t="shared" si="0"/>
        <v>84.960000000000008</v>
      </c>
      <c r="S20" s="12">
        <f t="shared" si="1"/>
        <v>9.4399999999999977</v>
      </c>
      <c r="T20" s="12">
        <f t="shared" si="2"/>
        <v>93.456000000000003</v>
      </c>
      <c r="U20" s="12">
        <f t="shared" si="3"/>
        <v>0.94400000000000261</v>
      </c>
      <c r="V20" s="41">
        <v>19</v>
      </c>
      <c r="W20" s="81"/>
      <c r="X20" s="80">
        <v>24300</v>
      </c>
      <c r="Y20" s="81"/>
      <c r="Z20" s="79"/>
      <c r="AB20" s="27"/>
    </row>
    <row r="21" spans="1:28" ht="29.4" thickBot="1">
      <c r="A21" s="118" t="s">
        <v>0</v>
      </c>
      <c r="B21" s="119">
        <v>46161</v>
      </c>
      <c r="C21" s="118" t="s">
        <v>1</v>
      </c>
      <c r="D21" s="120">
        <v>23650</v>
      </c>
      <c r="E21" s="118">
        <v>116.3</v>
      </c>
      <c r="F21" s="118">
        <v>134.9</v>
      </c>
      <c r="G21" s="118">
        <v>75.2</v>
      </c>
      <c r="H21" s="118">
        <v>116.3</v>
      </c>
      <c r="I21" s="43">
        <f>(H20+H21)/2</f>
        <v>105.35</v>
      </c>
      <c r="J21" s="31">
        <f>(H24+H16)/2</f>
        <v>38.524999999999999</v>
      </c>
      <c r="K21" s="31">
        <f>(H23+H19)/2</f>
        <v>122.72499999999999</v>
      </c>
      <c r="L21" s="31">
        <f>(H25+H17)/2</f>
        <v>159.42500000000001</v>
      </c>
      <c r="M21" s="31">
        <f>(H27+H15)/2</f>
        <v>176.5</v>
      </c>
      <c r="N21" s="31">
        <f>(H29+H13)/2</f>
        <v>229.75</v>
      </c>
      <c r="O21" s="31">
        <f>(H26+H14)/2</f>
        <v>32.049999999999997</v>
      </c>
      <c r="P21" s="31">
        <f>(H28+H12)/2</f>
        <v>24.15</v>
      </c>
      <c r="Q21" s="12">
        <f t="shared" ref="Q21:Q22" si="4">(H21)/4</f>
        <v>29.074999999999999</v>
      </c>
      <c r="R21" s="12">
        <f t="shared" si="0"/>
        <v>104.67</v>
      </c>
      <c r="S21" s="12">
        <f t="shared" si="1"/>
        <v>11.629999999999995</v>
      </c>
      <c r="T21" s="12">
        <f t="shared" si="2"/>
        <v>115.137</v>
      </c>
      <c r="U21" s="12">
        <f t="shared" si="3"/>
        <v>1.1629999999999967</v>
      </c>
      <c r="V21" s="42">
        <v>20</v>
      </c>
      <c r="W21" s="81"/>
      <c r="X21" s="80">
        <v>24350</v>
      </c>
      <c r="Y21" s="81"/>
      <c r="Z21" s="79"/>
      <c r="AB21" s="27"/>
    </row>
    <row r="22" spans="1:28" ht="29.4" thickBot="1">
      <c r="A22" s="90" t="s">
        <v>0</v>
      </c>
      <c r="B22" s="91">
        <v>46161</v>
      </c>
      <c r="C22" s="90" t="s">
        <v>1</v>
      </c>
      <c r="D22" s="92">
        <v>23700</v>
      </c>
      <c r="E22" s="90">
        <v>83.45</v>
      </c>
      <c r="F22" s="90">
        <v>99.55</v>
      </c>
      <c r="G22" s="90">
        <v>52.05</v>
      </c>
      <c r="H22" s="90">
        <v>83.45</v>
      </c>
      <c r="I22" s="35">
        <f>(H22+H23)/2</f>
        <v>95.825000000000003</v>
      </c>
      <c r="J22" s="35">
        <f>J23</f>
        <v>39.549999999999997</v>
      </c>
      <c r="K22" s="27">
        <f>(H25+H21)/2</f>
        <v>142.57499999999999</v>
      </c>
      <c r="L22" s="27">
        <f>(H27+H19)/2</f>
        <v>154.625</v>
      </c>
      <c r="M22" s="27">
        <f>(H29+H17)/2</f>
        <v>184.75</v>
      </c>
      <c r="N22" s="27">
        <f>(H31+H15)/2</f>
        <v>222.22499999999999</v>
      </c>
      <c r="O22" s="27">
        <f>(H28+H18)/2</f>
        <v>34.15</v>
      </c>
      <c r="P22" s="38">
        <f>(H30+H14)/2</f>
        <v>18.850000000000001</v>
      </c>
      <c r="Q22" s="12">
        <f t="shared" si="4"/>
        <v>20.862500000000001</v>
      </c>
      <c r="R22" s="12">
        <f t="shared" si="0"/>
        <v>75.105000000000004</v>
      </c>
      <c r="S22" s="12">
        <f t="shared" si="1"/>
        <v>8.3449999999999989</v>
      </c>
      <c r="T22" s="12">
        <f t="shared" si="2"/>
        <v>82.615499999999997</v>
      </c>
      <c r="U22" s="12">
        <f t="shared" si="3"/>
        <v>0.83450000000000557</v>
      </c>
      <c r="V22" s="41">
        <v>21</v>
      </c>
      <c r="W22" s="81"/>
      <c r="X22" s="80">
        <v>24400</v>
      </c>
      <c r="Y22" s="81"/>
      <c r="Z22" s="79"/>
      <c r="AB22" s="27"/>
    </row>
    <row r="23" spans="1:28" ht="29.4" thickBot="1">
      <c r="A23" s="90" t="s">
        <v>0</v>
      </c>
      <c r="B23" s="91">
        <v>46161</v>
      </c>
      <c r="C23" s="90" t="s">
        <v>20</v>
      </c>
      <c r="D23" s="92">
        <v>23700</v>
      </c>
      <c r="E23" s="90">
        <v>108.2</v>
      </c>
      <c r="F23" s="90">
        <v>121</v>
      </c>
      <c r="G23" s="90">
        <v>43.7</v>
      </c>
      <c r="H23" s="90">
        <v>108.2</v>
      </c>
      <c r="I23" s="35">
        <f>(H22+H23)/2</f>
        <v>95.825000000000003</v>
      </c>
      <c r="J23" s="35">
        <f>(H26+H18)/2</f>
        <v>39.549999999999997</v>
      </c>
      <c r="K23" s="27">
        <f>(H25+H21)/2</f>
        <v>142.57499999999999</v>
      </c>
      <c r="L23" s="27">
        <f>(H27+H19)/2</f>
        <v>154.625</v>
      </c>
      <c r="M23" s="27">
        <f>(H29+H17)/2</f>
        <v>184.75</v>
      </c>
      <c r="N23" s="27">
        <f>(H31+H15)/2</f>
        <v>222.22499999999999</v>
      </c>
      <c r="O23" s="27">
        <f>(H28+H18)/2</f>
        <v>34.15</v>
      </c>
      <c r="P23" s="38">
        <f>(H30+H14)/2</f>
        <v>18.850000000000001</v>
      </c>
      <c r="Q23" s="12">
        <f>(H23/4)</f>
        <v>27.05</v>
      </c>
      <c r="R23" s="12">
        <f t="shared" si="0"/>
        <v>97.38000000000001</v>
      </c>
      <c r="S23" s="12">
        <f t="shared" si="1"/>
        <v>10.819999999999993</v>
      </c>
      <c r="T23" s="12">
        <f t="shared" si="2"/>
        <v>107.11800000000001</v>
      </c>
      <c r="U23" s="12">
        <f t="shared" si="3"/>
        <v>1.0819999999999936</v>
      </c>
      <c r="V23" s="41">
        <v>22</v>
      </c>
    </row>
    <row r="24" spans="1:28" ht="29.4" thickBot="1">
      <c r="A24" s="90" t="s">
        <v>0</v>
      </c>
      <c r="B24" s="91">
        <v>46161</v>
      </c>
      <c r="C24" s="90" t="s">
        <v>1</v>
      </c>
      <c r="D24" s="92">
        <v>23750</v>
      </c>
      <c r="E24" s="90">
        <v>41.25</v>
      </c>
      <c r="F24" s="90">
        <v>69.900000000000006</v>
      </c>
      <c r="G24" s="90">
        <v>35.200000000000003</v>
      </c>
      <c r="H24" s="90">
        <v>41.25</v>
      </c>
      <c r="I24" s="35">
        <f>(H24+H25)/2</f>
        <v>105.05</v>
      </c>
      <c r="J24" s="35">
        <f>(H28+H20)/2</f>
        <v>61.45</v>
      </c>
      <c r="K24" s="27">
        <f>(H27+H22)/2</f>
        <v>127.72499999999999</v>
      </c>
      <c r="L24" s="27">
        <f>(H29+H21)/2</f>
        <v>167.9</v>
      </c>
      <c r="M24" s="27">
        <f>(H31+H19)/2</f>
        <v>200.35</v>
      </c>
      <c r="N24" s="27">
        <f>(H33+H17)/2</f>
        <v>230.75</v>
      </c>
      <c r="O24" s="27">
        <f>(H30+H18)/2</f>
        <v>26.349999999999998</v>
      </c>
      <c r="P24" s="38">
        <f>(H32+H16)/2</f>
        <v>23.9</v>
      </c>
      <c r="Q24" s="12">
        <f>(H24)/4</f>
        <v>10.3125</v>
      </c>
      <c r="R24" s="12">
        <f t="shared" si="0"/>
        <v>37.125</v>
      </c>
      <c r="S24" s="12">
        <f t="shared" si="1"/>
        <v>4.125</v>
      </c>
      <c r="T24" s="12">
        <f t="shared" si="2"/>
        <v>40.837499999999999</v>
      </c>
      <c r="U24" s="12">
        <f t="shared" si="3"/>
        <v>0.41250000000000142</v>
      </c>
      <c r="V24" s="41">
        <v>23</v>
      </c>
    </row>
    <row r="25" spans="1:28" ht="29.4" thickBot="1">
      <c r="A25" s="90" t="s">
        <v>0</v>
      </c>
      <c r="B25" s="91">
        <v>46161</v>
      </c>
      <c r="C25" s="90" t="s">
        <v>20</v>
      </c>
      <c r="D25" s="92">
        <v>23750</v>
      </c>
      <c r="E25" s="90">
        <v>168.85</v>
      </c>
      <c r="F25" s="90">
        <v>168.85</v>
      </c>
      <c r="G25" s="90">
        <v>63.25</v>
      </c>
      <c r="H25" s="90">
        <v>168.85</v>
      </c>
      <c r="I25" s="35">
        <f>(H24+H25)/2</f>
        <v>105.05</v>
      </c>
      <c r="J25" s="35">
        <f>(H28+H20)/2</f>
        <v>61.45</v>
      </c>
      <c r="K25" s="27">
        <f>(H27+H22)/2</f>
        <v>127.72499999999999</v>
      </c>
      <c r="L25" s="27">
        <f>(H29+H21)/2</f>
        <v>167.9</v>
      </c>
      <c r="M25" s="27">
        <f>(H31+H19)/2</f>
        <v>200.35</v>
      </c>
      <c r="N25" s="27">
        <f>(H33+H17)/2</f>
        <v>230.75</v>
      </c>
      <c r="O25" s="27">
        <f>(H30+H18)/2</f>
        <v>26.349999999999998</v>
      </c>
      <c r="P25" s="38">
        <f>(H32+H16)/2</f>
        <v>23.9</v>
      </c>
      <c r="Q25" s="12">
        <f>(H25/4)</f>
        <v>42.212499999999999</v>
      </c>
      <c r="R25" s="12">
        <f t="shared" si="0"/>
        <v>151.965</v>
      </c>
      <c r="S25" s="12">
        <f t="shared" si="1"/>
        <v>16.884999999999991</v>
      </c>
      <c r="T25" s="12">
        <f t="shared" si="2"/>
        <v>167.16149999999999</v>
      </c>
      <c r="U25" s="12">
        <f t="shared" si="3"/>
        <v>1.6885000000000048</v>
      </c>
      <c r="V25" s="41">
        <v>24</v>
      </c>
      <c r="AA25">
        <v>225</v>
      </c>
    </row>
    <row r="26" spans="1:28" ht="29.4" thickBot="1">
      <c r="A26" s="90" t="s">
        <v>0</v>
      </c>
      <c r="B26" s="91">
        <v>46161</v>
      </c>
      <c r="C26" s="90" t="s">
        <v>1</v>
      </c>
      <c r="D26" s="92">
        <v>23800</v>
      </c>
      <c r="E26" s="90">
        <v>39.299999999999997</v>
      </c>
      <c r="F26" s="90">
        <v>46.45</v>
      </c>
      <c r="G26" s="90">
        <v>22.85</v>
      </c>
      <c r="H26" s="90">
        <v>39.299999999999997</v>
      </c>
      <c r="I26" s="35">
        <f>(H26+H27)/2</f>
        <v>105.65</v>
      </c>
      <c r="J26" s="35">
        <f>(H30+H23)/2</f>
        <v>60.550000000000004</v>
      </c>
      <c r="K26" s="27">
        <f>(H29+H24)/2</f>
        <v>130.375</v>
      </c>
      <c r="L26" s="27">
        <f>(H31+H22)/2</f>
        <v>173.45</v>
      </c>
      <c r="M26" s="27">
        <f>(H33+H21)/2</f>
        <v>213.9</v>
      </c>
      <c r="N26" s="27">
        <f>(H35+H19)/2</f>
        <v>255.375</v>
      </c>
      <c r="O26" s="27">
        <f>(H32+H20)/2</f>
        <v>53.2</v>
      </c>
      <c r="P26" s="38">
        <f>(H34+H18)/2</f>
        <v>22.4</v>
      </c>
      <c r="Q26" s="12">
        <f>(H26)/4</f>
        <v>9.8249999999999993</v>
      </c>
      <c r="R26" s="12">
        <f t="shared" si="0"/>
        <v>35.369999999999997</v>
      </c>
      <c r="S26" s="12">
        <f t="shared" si="1"/>
        <v>3.9299999999999997</v>
      </c>
      <c r="T26" s="12">
        <f t="shared" si="2"/>
        <v>38.906999999999996</v>
      </c>
      <c r="U26" s="12">
        <f t="shared" si="3"/>
        <v>0.39300000000000068</v>
      </c>
      <c r="V26" s="41">
        <v>25</v>
      </c>
      <c r="AA26">
        <v>146</v>
      </c>
    </row>
    <row r="27" spans="1:28" ht="29.4" thickBot="1">
      <c r="A27" s="90" t="s">
        <v>0</v>
      </c>
      <c r="B27" s="91">
        <v>46161</v>
      </c>
      <c r="C27" s="90" t="s">
        <v>20</v>
      </c>
      <c r="D27" s="92">
        <v>23800</v>
      </c>
      <c r="E27" s="90">
        <v>172</v>
      </c>
      <c r="F27" s="90">
        <v>185.15</v>
      </c>
      <c r="G27" s="90">
        <v>90.1</v>
      </c>
      <c r="H27" s="90">
        <v>172</v>
      </c>
      <c r="I27" s="35">
        <f>(H26+H27)/2</f>
        <v>105.65</v>
      </c>
      <c r="J27" s="35">
        <f>(H30+H23)/2</f>
        <v>60.550000000000004</v>
      </c>
      <c r="K27" s="27">
        <f>(H29+H24)/2</f>
        <v>130.375</v>
      </c>
      <c r="L27" s="27">
        <f>(H31+H22)/2</f>
        <v>173.45</v>
      </c>
      <c r="M27" s="27">
        <f>(H33+H21)/2</f>
        <v>213.9</v>
      </c>
      <c r="N27" s="27">
        <f>(H35+H19)/2</f>
        <v>255.375</v>
      </c>
      <c r="O27" s="27">
        <f>(H32+H20)/2</f>
        <v>53.2</v>
      </c>
      <c r="P27" s="38">
        <f>(H34+H18)/2</f>
        <v>22.4</v>
      </c>
      <c r="Q27" s="12">
        <f>(H27/4)</f>
        <v>43</v>
      </c>
      <c r="R27" s="12">
        <f t="shared" si="0"/>
        <v>154.80000000000001</v>
      </c>
      <c r="S27" s="12">
        <f t="shared" si="1"/>
        <v>17.199999999999989</v>
      </c>
      <c r="T27" s="12">
        <f t="shared" si="2"/>
        <v>170.28</v>
      </c>
      <c r="U27" s="12">
        <f t="shared" si="3"/>
        <v>1.7199999999999989</v>
      </c>
      <c r="V27" s="41">
        <v>26</v>
      </c>
      <c r="AA27">
        <v>120</v>
      </c>
    </row>
    <row r="28" spans="1:28" ht="29.4" thickBot="1">
      <c r="A28" s="90" t="s">
        <v>0</v>
      </c>
      <c r="B28" s="91">
        <v>46161</v>
      </c>
      <c r="C28" s="90" t="s">
        <v>1</v>
      </c>
      <c r="D28" s="92">
        <v>23850</v>
      </c>
      <c r="E28" s="90">
        <v>28.5</v>
      </c>
      <c r="F28" s="90">
        <v>29.95</v>
      </c>
      <c r="G28" s="90">
        <v>14.35</v>
      </c>
      <c r="H28" s="90">
        <v>28.5</v>
      </c>
      <c r="I28" s="35">
        <f>(H28+H29)/2</f>
        <v>124</v>
      </c>
      <c r="J28" s="35">
        <f>(H32+H25)/2</f>
        <v>90.424999999999997</v>
      </c>
      <c r="K28" s="27">
        <f>(H31+H26)/2</f>
        <v>151.375</v>
      </c>
      <c r="L28" s="27">
        <f>(H33+H24)/2</f>
        <v>176.375</v>
      </c>
      <c r="M28" s="27">
        <f>(H35+H22)/2</f>
        <v>228.47499999999999</v>
      </c>
      <c r="N28" s="27">
        <f>(H37+H21)/2</f>
        <v>258.09999999999997</v>
      </c>
      <c r="O28" s="27">
        <f>(H34+H23)/2</f>
        <v>56.6</v>
      </c>
      <c r="P28" s="38">
        <f>(H36+H20)/2</f>
        <v>49.475000000000001</v>
      </c>
      <c r="Q28" s="12">
        <f>(H28)/4</f>
        <v>7.125</v>
      </c>
      <c r="R28" s="12">
        <f t="shared" si="0"/>
        <v>25.65</v>
      </c>
      <c r="S28" s="12">
        <f t="shared" si="1"/>
        <v>2.8500000000000014</v>
      </c>
      <c r="T28" s="12">
        <f t="shared" si="2"/>
        <v>28.214999999999996</v>
      </c>
      <c r="U28" s="12">
        <f t="shared" si="3"/>
        <v>0.28500000000000369</v>
      </c>
      <c r="V28" s="41">
        <v>27</v>
      </c>
    </row>
    <row r="29" spans="1:28" ht="29.4" thickBot="1">
      <c r="A29" s="90" t="s">
        <v>0</v>
      </c>
      <c r="B29" s="91">
        <v>46161</v>
      </c>
      <c r="C29" s="90" t="s">
        <v>20</v>
      </c>
      <c r="D29" s="92">
        <v>23850</v>
      </c>
      <c r="E29" s="90">
        <v>219.5</v>
      </c>
      <c r="F29" s="90">
        <v>221</v>
      </c>
      <c r="G29" s="90">
        <v>123</v>
      </c>
      <c r="H29" s="90">
        <v>219.5</v>
      </c>
      <c r="I29" s="35">
        <f>(H28+H29)/2</f>
        <v>124</v>
      </c>
      <c r="J29" s="35">
        <f>(H32+H25)/2</f>
        <v>90.424999999999997</v>
      </c>
      <c r="K29" s="27">
        <f>(H31+H26)/2</f>
        <v>151.375</v>
      </c>
      <c r="L29" s="27">
        <f>(H33+H24)/2</f>
        <v>176.375</v>
      </c>
      <c r="M29" s="27">
        <f>(H35+H22)/2</f>
        <v>228.47499999999999</v>
      </c>
      <c r="N29" s="27">
        <f>(H37+H21)/2</f>
        <v>258.09999999999997</v>
      </c>
      <c r="O29" s="27">
        <f>(H34+H23)/2</f>
        <v>56.6</v>
      </c>
      <c r="P29" s="38">
        <f>(H36+H20)/2</f>
        <v>49.475000000000001</v>
      </c>
      <c r="Q29" s="12">
        <f>(H29/4)</f>
        <v>54.875</v>
      </c>
      <c r="R29" s="12">
        <f t="shared" si="0"/>
        <v>197.54999999999998</v>
      </c>
      <c r="S29" s="12">
        <f t="shared" si="1"/>
        <v>21.950000000000017</v>
      </c>
      <c r="T29" s="12">
        <f t="shared" si="2"/>
        <v>217.30499999999998</v>
      </c>
      <c r="U29" s="12">
        <f t="shared" si="3"/>
        <v>2.1950000000000216</v>
      </c>
      <c r="V29" s="41">
        <v>28</v>
      </c>
    </row>
    <row r="30" spans="1:28" ht="29.4" thickBot="1">
      <c r="A30" s="90" t="s">
        <v>0</v>
      </c>
      <c r="B30" s="91">
        <v>46161</v>
      </c>
      <c r="C30" s="90" t="s">
        <v>1</v>
      </c>
      <c r="D30" s="92">
        <v>23900</v>
      </c>
      <c r="E30" s="90">
        <v>12.9</v>
      </c>
      <c r="F30" s="90">
        <v>18</v>
      </c>
      <c r="G30" s="90">
        <v>8</v>
      </c>
      <c r="H30" s="90">
        <v>12.9</v>
      </c>
      <c r="I30" s="35">
        <f>(H30+H31)/2</f>
        <v>138.17499999999998</v>
      </c>
      <c r="J30" s="35">
        <f>(H34+H27)/2</f>
        <v>88.5</v>
      </c>
      <c r="K30" s="27">
        <f>(H33+H28)/2</f>
        <v>170</v>
      </c>
      <c r="L30" s="27">
        <f>(H35+H26)/2</f>
        <v>206.4</v>
      </c>
      <c r="M30" s="27">
        <f>(H37+H24)/2</f>
        <v>220.57499999999999</v>
      </c>
      <c r="N30" s="27"/>
      <c r="O30" s="27">
        <f>(H36+H25)/2</f>
        <v>86.7</v>
      </c>
      <c r="P30" s="38"/>
      <c r="Q30" s="12">
        <f>(H30)/4</f>
        <v>3.2250000000000001</v>
      </c>
      <c r="R30" s="12">
        <f t="shared" si="0"/>
        <v>11.61</v>
      </c>
      <c r="S30" s="12">
        <f t="shared" si="1"/>
        <v>1.2900000000000009</v>
      </c>
      <c r="T30" s="12">
        <f t="shared" si="2"/>
        <v>12.771000000000001</v>
      </c>
      <c r="U30" s="12">
        <f t="shared" si="3"/>
        <v>0.12899999999999956</v>
      </c>
      <c r="V30" s="41">
        <v>29</v>
      </c>
    </row>
    <row r="31" spans="1:28" ht="29.4" thickBot="1">
      <c r="A31" s="90" t="s">
        <v>0</v>
      </c>
      <c r="B31" s="91">
        <v>46161</v>
      </c>
      <c r="C31" s="90" t="s">
        <v>20</v>
      </c>
      <c r="D31" s="92">
        <v>23900</v>
      </c>
      <c r="E31" s="90">
        <v>263.45</v>
      </c>
      <c r="F31" s="90">
        <v>263.45</v>
      </c>
      <c r="G31" s="90">
        <v>161.9</v>
      </c>
      <c r="H31" s="90">
        <v>263.45</v>
      </c>
      <c r="I31" s="35">
        <f>(H30+H31)/2</f>
        <v>138.17499999999998</v>
      </c>
      <c r="J31" s="36">
        <f>(H34+H27)/2</f>
        <v>88.5</v>
      </c>
      <c r="K31" s="29">
        <f>(H33+H28)/2</f>
        <v>170</v>
      </c>
      <c r="L31" s="29">
        <f>(H35+H26)/2</f>
        <v>206.4</v>
      </c>
      <c r="M31" s="29">
        <f>(H37+H24)/2</f>
        <v>220.57499999999999</v>
      </c>
      <c r="N31" s="29"/>
      <c r="O31" s="29">
        <f>(H36+H25)/2</f>
        <v>86.7</v>
      </c>
      <c r="P31" s="39"/>
      <c r="Q31" s="12">
        <f>(H31/4)</f>
        <v>65.862499999999997</v>
      </c>
      <c r="R31" s="12">
        <f t="shared" si="0"/>
        <v>237.10500000000002</v>
      </c>
      <c r="S31" s="12">
        <f t="shared" si="1"/>
        <v>26.34499999999997</v>
      </c>
      <c r="T31" s="12">
        <f t="shared" si="2"/>
        <v>260.81549999999999</v>
      </c>
      <c r="U31" s="12">
        <f t="shared" si="3"/>
        <v>2.6345000000000027</v>
      </c>
      <c r="V31" s="41">
        <v>30</v>
      </c>
    </row>
    <row r="32" spans="1:28" ht="29.4" thickBot="1">
      <c r="A32" s="90" t="s">
        <v>0</v>
      </c>
      <c r="B32" s="91">
        <v>46161</v>
      </c>
      <c r="C32" s="90" t="s">
        <v>1</v>
      </c>
      <c r="D32" s="92">
        <v>23950</v>
      </c>
      <c r="E32" s="90">
        <v>12</v>
      </c>
      <c r="F32" s="90">
        <v>12</v>
      </c>
      <c r="G32" s="90">
        <v>3.25</v>
      </c>
      <c r="H32" s="90">
        <v>12</v>
      </c>
      <c r="I32" s="43">
        <f>(H32+H33)/2</f>
        <v>161.75</v>
      </c>
      <c r="Q32" s="12">
        <f>(H32)/4</f>
        <v>3</v>
      </c>
      <c r="R32" s="12">
        <f t="shared" si="0"/>
        <v>10.799999999999999</v>
      </c>
      <c r="S32" s="12">
        <f t="shared" si="1"/>
        <v>1.2000000000000011</v>
      </c>
      <c r="T32" s="12">
        <f t="shared" si="2"/>
        <v>11.879999999999999</v>
      </c>
      <c r="U32" s="12">
        <f t="shared" si="3"/>
        <v>0.12000000000000099</v>
      </c>
      <c r="V32" s="41">
        <v>31</v>
      </c>
    </row>
    <row r="33" spans="1:22" ht="21" customHeight="1" thickBot="1">
      <c r="A33" s="90" t="s">
        <v>0</v>
      </c>
      <c r="B33" s="91">
        <v>46161</v>
      </c>
      <c r="C33" s="90" t="s">
        <v>20</v>
      </c>
      <c r="D33" s="92">
        <v>23950</v>
      </c>
      <c r="E33" s="90">
        <v>311.5</v>
      </c>
      <c r="F33" s="90">
        <v>311.5</v>
      </c>
      <c r="G33" s="90">
        <v>204.2</v>
      </c>
      <c r="H33" s="90">
        <v>311.5</v>
      </c>
      <c r="I33" s="43">
        <f>(H32+H33)/2</f>
        <v>161.75</v>
      </c>
      <c r="Q33" s="12">
        <f>(H33/4)</f>
        <v>77.875</v>
      </c>
      <c r="R33" s="12">
        <f t="shared" si="0"/>
        <v>280.35000000000002</v>
      </c>
      <c r="S33" s="12">
        <f t="shared" si="1"/>
        <v>31.149999999999977</v>
      </c>
      <c r="T33" s="12">
        <f t="shared" si="2"/>
        <v>308.38500000000005</v>
      </c>
      <c r="U33" s="12">
        <f t="shared" si="3"/>
        <v>3.1149999999999523</v>
      </c>
      <c r="V33" s="41">
        <v>32</v>
      </c>
    </row>
    <row r="34" spans="1:22" ht="21" customHeight="1" thickBot="1">
      <c r="A34" s="90" t="s">
        <v>0</v>
      </c>
      <c r="B34" s="91">
        <v>46161</v>
      </c>
      <c r="C34" s="90" t="s">
        <v>1</v>
      </c>
      <c r="D34" s="92">
        <v>24000</v>
      </c>
      <c r="E34" s="90">
        <v>5</v>
      </c>
      <c r="F34" s="90">
        <v>6.85</v>
      </c>
      <c r="G34" s="90">
        <v>3.05</v>
      </c>
      <c r="H34" s="90">
        <v>5</v>
      </c>
      <c r="I34" s="43">
        <f>(H34+H35)/2</f>
        <v>189.25</v>
      </c>
      <c r="Q34" s="12">
        <f>(H34)/4</f>
        <v>1.25</v>
      </c>
      <c r="R34" s="12">
        <f t="shared" si="0"/>
        <v>4.5</v>
      </c>
      <c r="S34" s="12">
        <f t="shared" si="1"/>
        <v>0.5</v>
      </c>
      <c r="T34" s="12">
        <f t="shared" si="2"/>
        <v>4.95</v>
      </c>
      <c r="U34" s="12">
        <f t="shared" si="3"/>
        <v>4.9999999999999822E-2</v>
      </c>
      <c r="V34" s="41">
        <v>33</v>
      </c>
    </row>
    <row r="35" spans="1:22" ht="21" customHeight="1" thickBot="1">
      <c r="A35" s="90" t="s">
        <v>0</v>
      </c>
      <c r="B35" s="91">
        <v>46161</v>
      </c>
      <c r="C35" s="90" t="s">
        <v>20</v>
      </c>
      <c r="D35" s="92">
        <v>24000</v>
      </c>
      <c r="E35" s="90">
        <v>373.5</v>
      </c>
      <c r="F35" s="90">
        <v>373.5</v>
      </c>
      <c r="G35" s="90">
        <v>250.55</v>
      </c>
      <c r="H35" s="90">
        <v>373.5</v>
      </c>
      <c r="I35" s="43">
        <f>(H34+H35)/2</f>
        <v>189.25</v>
      </c>
      <c r="Q35" s="12">
        <f>(H35/4)</f>
        <v>93.375</v>
      </c>
      <c r="R35" s="12">
        <f t="shared" si="0"/>
        <v>336.15</v>
      </c>
      <c r="S35" s="12">
        <f t="shared" si="1"/>
        <v>37.350000000000023</v>
      </c>
      <c r="T35" s="12">
        <f t="shared" si="2"/>
        <v>369.76499999999999</v>
      </c>
      <c r="U35" s="12">
        <f t="shared" si="3"/>
        <v>3.7350000000000136</v>
      </c>
      <c r="V35" s="41">
        <v>34</v>
      </c>
    </row>
    <row r="36" spans="1:22" ht="21" customHeight="1" thickBot="1">
      <c r="A36" s="90" t="s">
        <v>0</v>
      </c>
      <c r="B36" s="91">
        <v>46161</v>
      </c>
      <c r="C36" s="90" t="s">
        <v>1</v>
      </c>
      <c r="D36" s="92">
        <v>24050</v>
      </c>
      <c r="E36" s="90">
        <v>4.55</v>
      </c>
      <c r="F36" s="90">
        <v>4.55</v>
      </c>
      <c r="G36" s="90">
        <v>1.75</v>
      </c>
      <c r="H36" s="90">
        <v>4.55</v>
      </c>
      <c r="I36" s="43">
        <f>(H36+H37)/2</f>
        <v>202.22499999999999</v>
      </c>
      <c r="Q36" s="12">
        <f>(H36)/4</f>
        <v>1.1375</v>
      </c>
      <c r="R36" s="12">
        <f t="shared" si="0"/>
        <v>4.0949999999999998</v>
      </c>
      <c r="S36" s="12">
        <f t="shared" si="1"/>
        <v>0.45500000000000007</v>
      </c>
      <c r="T36" s="12">
        <f t="shared" si="2"/>
        <v>4.5045000000000002</v>
      </c>
      <c r="U36" s="12">
        <f t="shared" si="3"/>
        <v>4.5499999999999652E-2</v>
      </c>
      <c r="V36" s="41">
        <v>35</v>
      </c>
    </row>
    <row r="37" spans="1:22" ht="21" customHeight="1" thickBot="1">
      <c r="A37" s="90" t="s">
        <v>0</v>
      </c>
      <c r="B37" s="91">
        <v>46161</v>
      </c>
      <c r="C37" s="90" t="s">
        <v>20</v>
      </c>
      <c r="D37" s="92">
        <v>24050</v>
      </c>
      <c r="E37" s="90">
        <v>399.9</v>
      </c>
      <c r="F37" s="90">
        <v>399.95</v>
      </c>
      <c r="G37" s="90">
        <v>298</v>
      </c>
      <c r="H37" s="90">
        <v>399.9</v>
      </c>
      <c r="I37" s="43">
        <f>(H36+H37)/2</f>
        <v>202.22499999999999</v>
      </c>
      <c r="Q37" s="12">
        <f>(H37/4)</f>
        <v>99.974999999999994</v>
      </c>
      <c r="R37" s="12">
        <f t="shared" si="0"/>
        <v>359.90999999999997</v>
      </c>
      <c r="S37" s="12">
        <f t="shared" si="1"/>
        <v>39.990000000000009</v>
      </c>
      <c r="T37" s="12">
        <f t="shared" si="2"/>
        <v>395.90099999999995</v>
      </c>
      <c r="U37" s="12">
        <f t="shared" si="3"/>
        <v>3.9990000000000236</v>
      </c>
      <c r="V37" s="41">
        <v>36</v>
      </c>
    </row>
  </sheetData>
  <autoFilter ref="C1:P1" xr:uid="{00000000-0009-0000-0000-000002000000}">
    <sortState xmlns:xlrd2="http://schemas.microsoft.com/office/spreadsheetml/2017/richdata2" ref="C2:P143">
      <sortCondition ref="F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AS37"/>
  <sheetViews>
    <sheetView topLeftCell="L1" zoomScale="70" zoomScaleNormal="70" workbookViewId="0">
      <pane ySplit="1" topLeftCell="A3" activePane="bottomLeft" state="frozen"/>
      <selection pane="bottomLeft" activeCell="M5" sqref="M5"/>
    </sheetView>
  </sheetViews>
  <sheetFormatPr defaultRowHeight="14.4"/>
  <cols>
    <col min="1" max="1" width="10.6640625" customWidth="1"/>
    <col min="2" max="2" width="12.44140625" customWidth="1"/>
    <col min="3" max="3" width="10.6640625" customWidth="1"/>
    <col min="4" max="4" width="12.44140625" style="28" customWidth="1"/>
    <col min="5" max="8" width="10.6640625" style="28" customWidth="1"/>
    <col min="9" max="10" width="10.6640625" customWidth="1"/>
    <col min="11" max="11" width="13.109375" customWidth="1"/>
    <col min="12" max="12" width="12.6640625" customWidth="1"/>
    <col min="13" max="19" width="10.6640625" customWidth="1"/>
    <col min="20" max="20" width="14.6640625" customWidth="1"/>
    <col min="21" max="21" width="10.6640625" customWidth="1"/>
    <col min="23" max="23" width="9.109375" style="103"/>
    <col min="25" max="25" width="17.109375" customWidth="1"/>
    <col min="31" max="31" width="10.6640625" customWidth="1"/>
    <col min="39" max="39" width="13.5546875" customWidth="1"/>
    <col min="40" max="44" width="13.6640625" customWidth="1"/>
    <col min="45" max="45" width="14" customWidth="1"/>
  </cols>
  <sheetData>
    <row r="1" spans="1:45" ht="43.2" customHeight="1">
      <c r="A1" s="44" t="s">
        <v>2</v>
      </c>
      <c r="B1" s="44" t="s">
        <v>4</v>
      </c>
      <c r="C1" s="44" t="s">
        <v>6</v>
      </c>
      <c r="D1" s="45" t="s">
        <v>7</v>
      </c>
      <c r="E1" s="45" t="s">
        <v>8</v>
      </c>
      <c r="F1" s="46" t="s">
        <v>9</v>
      </c>
      <c r="G1" s="47" t="s">
        <v>10</v>
      </c>
      <c r="H1" s="48" t="s">
        <v>11</v>
      </c>
      <c r="I1" s="22" t="s">
        <v>28</v>
      </c>
      <c r="J1" s="24" t="s">
        <v>21</v>
      </c>
      <c r="K1" s="25" t="s">
        <v>22</v>
      </c>
      <c r="L1" s="25" t="s">
        <v>23</v>
      </c>
      <c r="M1" s="25" t="s">
        <v>24</v>
      </c>
      <c r="N1" s="25" t="s">
        <v>25</v>
      </c>
      <c r="O1" s="23" t="s">
        <v>26</v>
      </c>
      <c r="P1" s="23" t="s">
        <v>27</v>
      </c>
      <c r="Q1" s="40" t="s">
        <v>33</v>
      </c>
      <c r="R1" s="40" t="s">
        <v>29</v>
      </c>
      <c r="S1" s="40" t="s">
        <v>30</v>
      </c>
      <c r="T1" s="40" t="s">
        <v>31</v>
      </c>
      <c r="U1" s="40" t="s">
        <v>32</v>
      </c>
      <c r="AA1" s="108" t="s">
        <v>42</v>
      </c>
      <c r="AB1" s="108" t="s">
        <v>41</v>
      </c>
      <c r="AC1" s="85" t="s">
        <v>40</v>
      </c>
      <c r="AD1" s="85" t="s">
        <v>39</v>
      </c>
      <c r="AE1" s="107" t="s">
        <v>36</v>
      </c>
      <c r="AF1" s="107" t="s">
        <v>43</v>
      </c>
      <c r="AG1" s="107" t="s">
        <v>44</v>
      </c>
      <c r="AH1" s="107" t="s">
        <v>45</v>
      </c>
      <c r="AI1" s="107" t="s">
        <v>46</v>
      </c>
      <c r="AM1" s="122" t="s">
        <v>50</v>
      </c>
      <c r="AN1" s="122" t="s">
        <v>49</v>
      </c>
      <c r="AO1" s="122" t="s">
        <v>48</v>
      </c>
      <c r="AP1" s="121" t="s">
        <v>51</v>
      </c>
      <c r="AQ1" s="123" t="s">
        <v>39</v>
      </c>
      <c r="AR1" s="123" t="s">
        <v>40</v>
      </c>
      <c r="AS1" s="123" t="s">
        <v>40</v>
      </c>
    </row>
    <row r="2" spans="1:45" ht="28.2" thickBot="1">
      <c r="A2" s="72" t="s">
        <v>0</v>
      </c>
      <c r="B2" s="73">
        <v>46238</v>
      </c>
      <c r="C2" s="72" t="s">
        <v>20</v>
      </c>
      <c r="D2" s="74">
        <v>23600</v>
      </c>
      <c r="E2" s="72">
        <v>18.649999999999999</v>
      </c>
      <c r="F2" s="72">
        <v>18.649999999999999</v>
      </c>
      <c r="G2" s="72">
        <v>12.05</v>
      </c>
      <c r="H2" s="72">
        <v>18.649999999999999</v>
      </c>
      <c r="I2" s="43">
        <f>(H2+H3)/2</f>
        <v>309.3</v>
      </c>
      <c r="Q2" s="12">
        <f>(H2/4)</f>
        <v>4.6624999999999996</v>
      </c>
      <c r="R2" s="12"/>
      <c r="S2" s="12"/>
      <c r="T2" s="12"/>
      <c r="U2" s="12"/>
      <c r="V2" s="41">
        <v>1</v>
      </c>
      <c r="AM2" s="122"/>
      <c r="AN2" s="122"/>
      <c r="AO2" s="124"/>
      <c r="AP2" s="125"/>
      <c r="AQ2" s="123"/>
      <c r="AR2" s="126"/>
      <c r="AS2" s="126"/>
    </row>
    <row r="3" spans="1:45" ht="28.2" thickBot="1">
      <c r="A3" s="72" t="s">
        <v>0</v>
      </c>
      <c r="B3" s="73">
        <v>46238</v>
      </c>
      <c r="C3" s="72" t="s">
        <v>1</v>
      </c>
      <c r="D3" s="74">
        <v>23600</v>
      </c>
      <c r="E3" s="72">
        <v>599.95000000000005</v>
      </c>
      <c r="F3" s="72">
        <v>638.29999999999995</v>
      </c>
      <c r="G3" s="72">
        <v>568.1</v>
      </c>
      <c r="H3" s="72">
        <v>599.95000000000005</v>
      </c>
      <c r="I3" s="43">
        <f>(H2+H3)/2</f>
        <v>309.3</v>
      </c>
      <c r="Q3" s="12">
        <f>(H3)/4</f>
        <v>149.98750000000001</v>
      </c>
      <c r="R3" s="12">
        <f>((H3/100)*90)</f>
        <v>539.95500000000004</v>
      </c>
      <c r="S3" s="12">
        <f>(H3-R3)</f>
        <v>59.995000000000005</v>
      </c>
      <c r="T3" s="12">
        <f>((H3/100)*99)</f>
        <v>593.95050000000003</v>
      </c>
      <c r="U3" s="12">
        <f>(H3-T3)</f>
        <v>5.9995000000000118</v>
      </c>
      <c r="V3" s="41">
        <v>2</v>
      </c>
      <c r="AM3" s="122"/>
      <c r="AN3" s="122"/>
      <c r="AO3" s="124"/>
      <c r="AP3" s="125"/>
      <c r="AQ3" s="123"/>
      <c r="AR3" s="126"/>
      <c r="AS3" s="126"/>
    </row>
    <row r="4" spans="1:45" ht="28.2" thickBot="1">
      <c r="A4" s="72" t="s">
        <v>0</v>
      </c>
      <c r="B4" s="73">
        <v>46238</v>
      </c>
      <c r="C4" s="72" t="s">
        <v>20</v>
      </c>
      <c r="D4" s="74">
        <v>23650</v>
      </c>
      <c r="E4" s="72">
        <v>20.2</v>
      </c>
      <c r="F4" s="72">
        <v>20.2</v>
      </c>
      <c r="G4" s="72">
        <v>14.35</v>
      </c>
      <c r="H4" s="72">
        <v>20.2</v>
      </c>
      <c r="I4" s="43">
        <f>(H4+H5)/2</f>
        <v>262.625</v>
      </c>
      <c r="Q4" s="12">
        <f>(H4/4)</f>
        <v>5.05</v>
      </c>
      <c r="R4" s="12">
        <f t="shared" ref="R4:R37" si="0">((H4/100)*90)</f>
        <v>18.18</v>
      </c>
      <c r="S4" s="12">
        <f t="shared" ref="S4:S37" si="1">(H4-R4)</f>
        <v>2.0199999999999996</v>
      </c>
      <c r="T4" s="12">
        <f t="shared" ref="T4:T37" si="2">((H4/100)*99)</f>
        <v>19.997999999999998</v>
      </c>
      <c r="U4" s="12">
        <f t="shared" ref="U4:U37" si="3">(H4-T4)</f>
        <v>0.20200000000000173</v>
      </c>
      <c r="V4" s="41">
        <v>3</v>
      </c>
      <c r="AM4" s="122"/>
      <c r="AN4" s="122"/>
      <c r="AO4" s="124"/>
      <c r="AP4" s="125"/>
      <c r="AQ4" s="123"/>
      <c r="AR4" s="126"/>
      <c r="AS4" s="126"/>
    </row>
    <row r="5" spans="1:45" ht="28.2" thickBot="1">
      <c r="A5" s="72" t="s">
        <v>0</v>
      </c>
      <c r="B5" s="73">
        <v>46238</v>
      </c>
      <c r="C5" s="72" t="s">
        <v>1</v>
      </c>
      <c r="D5" s="74">
        <v>23650</v>
      </c>
      <c r="E5" s="72">
        <v>505.05</v>
      </c>
      <c r="F5" s="72">
        <v>589</v>
      </c>
      <c r="G5" s="72">
        <v>505</v>
      </c>
      <c r="H5" s="72">
        <v>505.05</v>
      </c>
      <c r="I5" s="43">
        <f>(H4+H5)/2</f>
        <v>262.625</v>
      </c>
      <c r="Q5" s="12">
        <f>(H5)/4</f>
        <v>126.2625</v>
      </c>
      <c r="R5" s="12">
        <f t="shared" si="0"/>
        <v>454.54500000000002</v>
      </c>
      <c r="S5" s="12">
        <f t="shared" si="1"/>
        <v>50.504999999999995</v>
      </c>
      <c r="T5" s="12">
        <f t="shared" si="2"/>
        <v>499.99950000000007</v>
      </c>
      <c r="U5" s="12">
        <f t="shared" si="3"/>
        <v>5.0504999999999427</v>
      </c>
      <c r="V5" s="41">
        <v>4</v>
      </c>
      <c r="AM5" s="122"/>
      <c r="AN5" s="122"/>
      <c r="AO5" s="124"/>
      <c r="AP5" s="125"/>
      <c r="AQ5" s="123"/>
      <c r="AR5" s="126"/>
      <c r="AS5" s="126"/>
    </row>
    <row r="6" spans="1:45" ht="28.2" thickBot="1">
      <c r="A6" s="72" t="s">
        <v>0</v>
      </c>
      <c r="B6" s="73">
        <v>46238</v>
      </c>
      <c r="C6" s="72" t="s">
        <v>20</v>
      </c>
      <c r="D6" s="74">
        <v>23700</v>
      </c>
      <c r="E6" s="72">
        <v>19.850000000000001</v>
      </c>
      <c r="F6" s="72">
        <v>23.1</v>
      </c>
      <c r="G6" s="72">
        <v>17.25</v>
      </c>
      <c r="H6" s="72">
        <v>19.850000000000001</v>
      </c>
      <c r="I6" s="43">
        <f>(H6+H7)/2</f>
        <v>261.57499999999999</v>
      </c>
      <c r="Q6" s="12">
        <f>(H6/4)</f>
        <v>4.9625000000000004</v>
      </c>
      <c r="R6" s="12">
        <f t="shared" si="0"/>
        <v>17.865000000000002</v>
      </c>
      <c r="S6" s="12">
        <f t="shared" si="1"/>
        <v>1.9849999999999994</v>
      </c>
      <c r="T6" s="12">
        <f t="shared" si="2"/>
        <v>19.651500000000002</v>
      </c>
      <c r="U6" s="12">
        <f t="shared" si="3"/>
        <v>0.19849999999999923</v>
      </c>
      <c r="V6" s="41">
        <v>5</v>
      </c>
      <c r="AM6" s="122"/>
      <c r="AN6" s="122"/>
      <c r="AO6" s="124"/>
      <c r="AP6" s="125"/>
      <c r="AQ6" s="123"/>
      <c r="AR6" s="126"/>
      <c r="AS6" s="126"/>
    </row>
    <row r="7" spans="1:45" ht="28.2" thickBot="1">
      <c r="A7" s="72" t="s">
        <v>0</v>
      </c>
      <c r="B7" s="73">
        <v>46238</v>
      </c>
      <c r="C7" s="72" t="s">
        <v>1</v>
      </c>
      <c r="D7" s="74">
        <v>23700</v>
      </c>
      <c r="E7" s="72">
        <v>503.3</v>
      </c>
      <c r="F7" s="72">
        <v>543.9</v>
      </c>
      <c r="G7" s="72">
        <v>478.15</v>
      </c>
      <c r="H7" s="72">
        <v>503.3</v>
      </c>
      <c r="I7" s="43">
        <f>(H6+H7)/2</f>
        <v>261.57499999999999</v>
      </c>
      <c r="Q7" s="12">
        <f>(H7)/4</f>
        <v>125.825</v>
      </c>
      <c r="R7" s="12">
        <f t="shared" si="0"/>
        <v>452.97</v>
      </c>
      <c r="S7" s="12">
        <f t="shared" si="1"/>
        <v>50.329999999999984</v>
      </c>
      <c r="T7" s="12">
        <f t="shared" si="2"/>
        <v>498.26700000000005</v>
      </c>
      <c r="U7" s="12">
        <f t="shared" si="3"/>
        <v>5.0329999999999586</v>
      </c>
      <c r="V7" s="41">
        <v>6</v>
      </c>
      <c r="X7" s="109" t="s">
        <v>1</v>
      </c>
      <c r="Y7" s="109" t="s">
        <v>37</v>
      </c>
      <c r="Z7" s="109" t="s">
        <v>38</v>
      </c>
      <c r="AM7" s="122"/>
      <c r="AN7" s="122"/>
      <c r="AO7" s="124"/>
      <c r="AP7" s="125"/>
      <c r="AQ7" s="123"/>
      <c r="AR7" s="126"/>
      <c r="AS7" s="126"/>
    </row>
    <row r="8" spans="1:45" ht="28.2" thickBot="1">
      <c r="A8" s="72" t="s">
        <v>0</v>
      </c>
      <c r="B8" s="73">
        <v>46238</v>
      </c>
      <c r="C8" s="72" t="s">
        <v>20</v>
      </c>
      <c r="D8" s="74">
        <v>23750</v>
      </c>
      <c r="E8" s="72">
        <v>21.1</v>
      </c>
      <c r="F8" s="72">
        <v>28.35</v>
      </c>
      <c r="G8" s="72">
        <v>21</v>
      </c>
      <c r="H8" s="72">
        <v>21.1</v>
      </c>
      <c r="I8" s="30">
        <f>(H8+H9)/2</f>
        <v>246.375</v>
      </c>
      <c r="J8" s="30">
        <f>(H13+H4)/2</f>
        <v>185.1</v>
      </c>
      <c r="K8" s="26">
        <f>(H10+H7)/2</f>
        <v>266.02499999999998</v>
      </c>
      <c r="L8" s="26">
        <f>(H12+H5)/2</f>
        <v>274.52499999999998</v>
      </c>
      <c r="M8" s="26">
        <f>(H14+H3)/2</f>
        <v>324.97500000000002</v>
      </c>
      <c r="N8" s="26"/>
      <c r="O8" s="26">
        <f>(H15+H2)/2</f>
        <v>179.32499999999999</v>
      </c>
      <c r="P8" s="37"/>
      <c r="Q8" s="12">
        <f>(H8/4)</f>
        <v>5.2750000000000004</v>
      </c>
      <c r="R8" s="12">
        <f t="shared" si="0"/>
        <v>18.990000000000002</v>
      </c>
      <c r="S8" s="12">
        <f t="shared" si="1"/>
        <v>2.1099999999999994</v>
      </c>
      <c r="T8" s="12">
        <f t="shared" si="2"/>
        <v>20.889000000000003</v>
      </c>
      <c r="U8" s="12">
        <f t="shared" si="3"/>
        <v>0.21099999999999852</v>
      </c>
      <c r="V8" s="41">
        <v>7</v>
      </c>
      <c r="Y8" s="113">
        <f>D8</f>
        <v>23750</v>
      </c>
      <c r="Z8">
        <f>H8</f>
        <v>21.1</v>
      </c>
      <c r="AA8" s="12"/>
      <c r="AB8" s="12"/>
      <c r="AC8" s="111">
        <f>J8</f>
        <v>185.1</v>
      </c>
      <c r="AD8" s="14">
        <f>(H6+H11)/2</f>
        <v>214.92500000000001</v>
      </c>
      <c r="AE8" s="13">
        <f>I8</f>
        <v>246.375</v>
      </c>
      <c r="AF8" s="114">
        <f t="shared" ref="AF8:AI23" si="4">K8</f>
        <v>266.02499999999998</v>
      </c>
      <c r="AG8" s="115">
        <f t="shared" si="4"/>
        <v>274.52499999999998</v>
      </c>
      <c r="AH8" s="116">
        <f t="shared" si="4"/>
        <v>324.97500000000002</v>
      </c>
      <c r="AI8" s="117">
        <f t="shared" si="4"/>
        <v>0</v>
      </c>
      <c r="AM8" s="122"/>
      <c r="AN8" s="122"/>
      <c r="AO8" s="127"/>
      <c r="AP8" s="125"/>
      <c r="AQ8" s="123"/>
      <c r="AR8" s="126"/>
      <c r="AS8" s="126"/>
    </row>
    <row r="9" spans="1:45" ht="28.2" thickBot="1">
      <c r="A9" s="72" t="s">
        <v>0</v>
      </c>
      <c r="B9" s="73">
        <v>46238</v>
      </c>
      <c r="C9" s="72" t="s">
        <v>1</v>
      </c>
      <c r="D9" s="74">
        <v>23750</v>
      </c>
      <c r="E9" s="72">
        <v>471.65</v>
      </c>
      <c r="F9" s="72">
        <v>499</v>
      </c>
      <c r="G9" s="72">
        <v>432.3</v>
      </c>
      <c r="H9" s="72">
        <v>471.65</v>
      </c>
      <c r="I9" s="30">
        <f>(H8+H9)/2</f>
        <v>246.375</v>
      </c>
      <c r="J9" s="30">
        <f>(H13+H4)/2</f>
        <v>185.1</v>
      </c>
      <c r="K9" s="26">
        <f>(H10+H7)/2</f>
        <v>266.02499999999998</v>
      </c>
      <c r="L9" s="26">
        <f>(H12+H5)/2</f>
        <v>274.52499999999998</v>
      </c>
      <c r="M9" s="26">
        <f>(H14+H3)/2</f>
        <v>324.97500000000002</v>
      </c>
      <c r="N9" s="26"/>
      <c r="O9" s="26">
        <f>(H15+H2)/2</f>
        <v>179.32499999999999</v>
      </c>
      <c r="P9" s="37"/>
      <c r="Q9" s="12">
        <f>(H9)/4</f>
        <v>117.91249999999999</v>
      </c>
      <c r="R9" s="12">
        <f t="shared" si="0"/>
        <v>424.48500000000001</v>
      </c>
      <c r="S9" s="12">
        <f t="shared" si="1"/>
        <v>47.164999999999964</v>
      </c>
      <c r="T9" s="12">
        <f t="shared" si="2"/>
        <v>466.93349999999998</v>
      </c>
      <c r="U9" s="12">
        <f t="shared" si="3"/>
        <v>4.7164999999999964</v>
      </c>
      <c r="V9" s="41">
        <v>8</v>
      </c>
      <c r="X9">
        <f>H9</f>
        <v>471.65</v>
      </c>
      <c r="Y9" s="113">
        <f>D9</f>
        <v>23750</v>
      </c>
      <c r="AA9" s="12"/>
      <c r="AB9" s="12"/>
      <c r="AC9" s="111">
        <f>J9</f>
        <v>185.1</v>
      </c>
      <c r="AD9" s="14">
        <f>(H6+H11)/2</f>
        <v>214.92500000000001</v>
      </c>
      <c r="AE9" s="13">
        <f>I9</f>
        <v>246.375</v>
      </c>
      <c r="AF9" s="114">
        <f t="shared" si="4"/>
        <v>266.02499999999998</v>
      </c>
      <c r="AG9" s="115">
        <f t="shared" si="4"/>
        <v>274.52499999999998</v>
      </c>
      <c r="AH9" s="116">
        <f t="shared" si="4"/>
        <v>324.97500000000002</v>
      </c>
      <c r="AI9" s="117">
        <f t="shared" si="4"/>
        <v>0</v>
      </c>
      <c r="AM9" s="122"/>
      <c r="AN9" s="122"/>
      <c r="AO9" s="127"/>
      <c r="AP9" s="125"/>
      <c r="AQ9" s="123"/>
      <c r="AR9" s="126"/>
      <c r="AS9" s="126"/>
    </row>
    <row r="10" spans="1:45" ht="28.2" thickBot="1">
      <c r="A10" s="72" t="s">
        <v>0</v>
      </c>
      <c r="B10" s="73">
        <v>46238</v>
      </c>
      <c r="C10" s="72" t="s">
        <v>20</v>
      </c>
      <c r="D10" s="74">
        <v>23800</v>
      </c>
      <c r="E10" s="72">
        <v>28.75</v>
      </c>
      <c r="F10" s="72">
        <v>35.950000000000003</v>
      </c>
      <c r="G10" s="72">
        <v>25.15</v>
      </c>
      <c r="H10" s="72">
        <v>28.75</v>
      </c>
      <c r="I10" s="30">
        <f>(H10+H11)/2</f>
        <v>219.375</v>
      </c>
      <c r="J10" s="30">
        <f>(H15+H6)/2</f>
        <v>179.92500000000001</v>
      </c>
      <c r="K10" s="26">
        <f>(H12+H9)/2</f>
        <v>257.82499999999999</v>
      </c>
      <c r="L10" s="26">
        <f>(H14+H7)/2</f>
        <v>276.64999999999998</v>
      </c>
      <c r="M10" s="26">
        <f>(H16+H5)/2</f>
        <v>281.97500000000002</v>
      </c>
      <c r="N10" s="26">
        <f>(H18+H3)/2</f>
        <v>339.65000000000003</v>
      </c>
      <c r="O10" s="26">
        <f>(H17+H4)/2</f>
        <v>154.1</v>
      </c>
      <c r="P10" s="37">
        <f>(H19+H2)/2</f>
        <v>129.82499999999999</v>
      </c>
      <c r="Q10" s="12">
        <f>(H10/4)</f>
        <v>7.1875</v>
      </c>
      <c r="R10" s="12">
        <f t="shared" si="0"/>
        <v>25.874999999999996</v>
      </c>
      <c r="S10" s="12">
        <f t="shared" si="1"/>
        <v>2.8750000000000036</v>
      </c>
      <c r="T10" s="12">
        <f t="shared" si="2"/>
        <v>28.462499999999999</v>
      </c>
      <c r="U10" s="12">
        <f t="shared" si="3"/>
        <v>0.28750000000000142</v>
      </c>
      <c r="V10" s="41">
        <v>9</v>
      </c>
      <c r="Y10" s="112">
        <f t="shared" ref="Y10:Y31" si="5">D10</f>
        <v>23800</v>
      </c>
      <c r="Z10">
        <f>H10</f>
        <v>28.75</v>
      </c>
      <c r="AA10" s="12"/>
      <c r="AB10" s="12"/>
      <c r="AC10" s="111">
        <f t="shared" ref="AC10:AC31" si="6">J10</f>
        <v>179.92500000000001</v>
      </c>
      <c r="AD10" s="14">
        <f>(H8+H13)/2</f>
        <v>185.55</v>
      </c>
      <c r="AE10" s="13">
        <f t="shared" ref="AE10:AE31" si="7">I10</f>
        <v>219.375</v>
      </c>
      <c r="AF10" s="114">
        <f t="shared" si="4"/>
        <v>257.82499999999999</v>
      </c>
      <c r="AG10" s="115">
        <f t="shared" si="4"/>
        <v>276.64999999999998</v>
      </c>
      <c r="AH10" s="116">
        <f t="shared" si="4"/>
        <v>281.97500000000002</v>
      </c>
      <c r="AI10" s="117">
        <f>N10</f>
        <v>339.65000000000003</v>
      </c>
      <c r="AM10" s="122"/>
      <c r="AN10" s="122"/>
      <c r="AO10" s="127"/>
      <c r="AP10" s="125"/>
      <c r="AQ10" s="123"/>
      <c r="AR10" s="126"/>
      <c r="AS10" s="126"/>
    </row>
    <row r="11" spans="1:45" ht="28.2" thickBot="1">
      <c r="A11" s="72" t="s">
        <v>0</v>
      </c>
      <c r="B11" s="73">
        <v>46238</v>
      </c>
      <c r="C11" s="72" t="s">
        <v>1</v>
      </c>
      <c r="D11" s="74">
        <v>23800</v>
      </c>
      <c r="E11" s="72">
        <v>410</v>
      </c>
      <c r="F11" s="72">
        <v>453.3</v>
      </c>
      <c r="G11" s="72">
        <v>388.75</v>
      </c>
      <c r="H11" s="72">
        <v>410</v>
      </c>
      <c r="I11" s="30">
        <f>(H10+H11)/2</f>
        <v>219.375</v>
      </c>
      <c r="J11" s="30">
        <f>(H15+H6)/2</f>
        <v>179.92500000000001</v>
      </c>
      <c r="K11" s="26">
        <f>(H12+H9)/2</f>
        <v>257.82499999999999</v>
      </c>
      <c r="L11" s="26">
        <f>(H14+H7)/2</f>
        <v>276.64999999999998</v>
      </c>
      <c r="M11" s="26">
        <f>(H16+H5)/2</f>
        <v>281.97500000000002</v>
      </c>
      <c r="N11" s="26">
        <f>(H18+H3)/2</f>
        <v>339.65000000000003</v>
      </c>
      <c r="O11" s="26">
        <f>(H17+H4)/2</f>
        <v>154.1</v>
      </c>
      <c r="P11" s="37">
        <f>(H19+H2)/2</f>
        <v>129.82499999999999</v>
      </c>
      <c r="Q11" s="12">
        <f>(H11)/4</f>
        <v>102.5</v>
      </c>
      <c r="R11" s="12">
        <f t="shared" si="0"/>
        <v>368.99999999999994</v>
      </c>
      <c r="S11" s="12">
        <f t="shared" si="1"/>
        <v>41.000000000000057</v>
      </c>
      <c r="T11" s="12">
        <f t="shared" si="2"/>
        <v>405.9</v>
      </c>
      <c r="U11" s="12">
        <f t="shared" si="3"/>
        <v>4.1000000000000227</v>
      </c>
      <c r="V11" s="41">
        <v>10</v>
      </c>
      <c r="X11">
        <f>H11</f>
        <v>410</v>
      </c>
      <c r="Y11" s="112">
        <f t="shared" si="5"/>
        <v>23800</v>
      </c>
      <c r="AA11" s="12"/>
      <c r="AB11" s="12"/>
      <c r="AC11" s="111">
        <f t="shared" si="6"/>
        <v>179.92500000000001</v>
      </c>
      <c r="AD11" s="14">
        <f>(H8+H13)/2</f>
        <v>185.55</v>
      </c>
      <c r="AE11" s="13">
        <f t="shared" si="7"/>
        <v>219.375</v>
      </c>
      <c r="AF11" s="114">
        <f t="shared" si="4"/>
        <v>257.82499999999999</v>
      </c>
      <c r="AG11" s="115">
        <f t="shared" si="4"/>
        <v>276.64999999999998</v>
      </c>
      <c r="AH11" s="116">
        <f t="shared" si="4"/>
        <v>281.97500000000002</v>
      </c>
      <c r="AI11" s="117">
        <f t="shared" si="4"/>
        <v>339.65000000000003</v>
      </c>
      <c r="AM11" s="122"/>
      <c r="AN11" s="122"/>
      <c r="AO11" s="128"/>
      <c r="AP11" s="125"/>
      <c r="AQ11" s="123"/>
      <c r="AR11" s="126"/>
      <c r="AS11" s="126"/>
    </row>
    <row r="12" spans="1:45" ht="28.2" thickBot="1">
      <c r="A12" s="72" t="s">
        <v>0</v>
      </c>
      <c r="B12" s="73">
        <v>46238</v>
      </c>
      <c r="C12" s="72" t="s">
        <v>20</v>
      </c>
      <c r="D12" s="74">
        <v>23850</v>
      </c>
      <c r="E12" s="72">
        <v>44</v>
      </c>
      <c r="F12" s="72">
        <v>44</v>
      </c>
      <c r="G12" s="72">
        <v>31.8</v>
      </c>
      <c r="H12" s="72">
        <v>44</v>
      </c>
      <c r="I12" s="30">
        <f>(H12+H13)/2</f>
        <v>197</v>
      </c>
      <c r="J12" s="30">
        <f>(H17+H8)/2</f>
        <v>154.55000000000001</v>
      </c>
      <c r="K12" s="26">
        <f>(H14+H11)/2</f>
        <v>230</v>
      </c>
      <c r="L12" s="26">
        <f>(H16+H9)/2</f>
        <v>265.27499999999998</v>
      </c>
      <c r="M12" s="26">
        <f>(H18+H7)/2</f>
        <v>291.32499999999999</v>
      </c>
      <c r="N12" s="26">
        <f>(H20+H5)/2</f>
        <v>300.02499999999998</v>
      </c>
      <c r="O12" s="26">
        <f>(H19+H6)/2</f>
        <v>130.42500000000001</v>
      </c>
      <c r="P12" s="37">
        <f>(H21+H4)/2</f>
        <v>110.675</v>
      </c>
      <c r="Q12" s="12">
        <f>(H12/4)</f>
        <v>11</v>
      </c>
      <c r="R12" s="12">
        <f t="shared" si="0"/>
        <v>39.6</v>
      </c>
      <c r="S12" s="12">
        <f t="shared" si="1"/>
        <v>4.3999999999999986</v>
      </c>
      <c r="T12" s="12">
        <f t="shared" si="2"/>
        <v>43.56</v>
      </c>
      <c r="U12" s="12">
        <f t="shared" si="3"/>
        <v>0.43999999999999773</v>
      </c>
      <c r="V12" s="41">
        <v>11</v>
      </c>
      <c r="Y12" s="104">
        <f t="shared" si="5"/>
        <v>23850</v>
      </c>
      <c r="Z12">
        <f>H12</f>
        <v>44</v>
      </c>
      <c r="AA12" s="12"/>
      <c r="AB12" s="12"/>
      <c r="AC12" s="111">
        <f t="shared" si="6"/>
        <v>154.55000000000001</v>
      </c>
      <c r="AD12" s="14">
        <f t="shared" ref="AD12" si="8">(H10+H15)/2</f>
        <v>184.375</v>
      </c>
      <c r="AE12" s="13">
        <f t="shared" si="7"/>
        <v>197</v>
      </c>
      <c r="AF12" s="114">
        <f t="shared" si="4"/>
        <v>230</v>
      </c>
      <c r="AG12" s="115">
        <f t="shared" si="4"/>
        <v>265.27499999999998</v>
      </c>
      <c r="AH12" s="116">
        <f t="shared" si="4"/>
        <v>291.32499999999999</v>
      </c>
      <c r="AI12" s="117">
        <f t="shared" si="4"/>
        <v>300.02499999999998</v>
      </c>
      <c r="AM12" s="122"/>
      <c r="AN12" s="122"/>
      <c r="AO12" s="128"/>
      <c r="AP12" s="125"/>
      <c r="AQ12" s="123"/>
      <c r="AR12" s="126"/>
      <c r="AS12" s="126"/>
    </row>
    <row r="13" spans="1:45" ht="28.2" thickBot="1">
      <c r="A13" s="72" t="s">
        <v>0</v>
      </c>
      <c r="B13" s="73">
        <v>46238</v>
      </c>
      <c r="C13" s="72" t="s">
        <v>1</v>
      </c>
      <c r="D13" s="74">
        <v>23850</v>
      </c>
      <c r="E13" s="72">
        <v>350</v>
      </c>
      <c r="F13" s="72">
        <v>410</v>
      </c>
      <c r="G13" s="72">
        <v>346.85</v>
      </c>
      <c r="H13" s="72">
        <v>350</v>
      </c>
      <c r="I13" s="30">
        <f>(H12+H13)/2</f>
        <v>197</v>
      </c>
      <c r="J13" s="30">
        <f>(H17+H8)/2</f>
        <v>154.55000000000001</v>
      </c>
      <c r="K13" s="26">
        <f>(H14+H11)/2</f>
        <v>230</v>
      </c>
      <c r="L13" s="26">
        <f>(H16+H9)/2</f>
        <v>265.27499999999998</v>
      </c>
      <c r="M13" s="26">
        <f>(H18+H7)/2</f>
        <v>291.32499999999999</v>
      </c>
      <c r="N13" s="26">
        <f>(H20+H5)/2</f>
        <v>300.02499999999998</v>
      </c>
      <c r="O13" s="26">
        <f>(H19+H6)/2</f>
        <v>130.42500000000001</v>
      </c>
      <c r="P13" s="37">
        <f>(H21+H4)/2</f>
        <v>110.675</v>
      </c>
      <c r="Q13" s="12">
        <f>(H13)/4</f>
        <v>87.5</v>
      </c>
      <c r="R13" s="12">
        <f t="shared" si="0"/>
        <v>315</v>
      </c>
      <c r="S13" s="12">
        <f t="shared" si="1"/>
        <v>35</v>
      </c>
      <c r="T13" s="12">
        <f t="shared" si="2"/>
        <v>346.5</v>
      </c>
      <c r="U13" s="12">
        <f t="shared" si="3"/>
        <v>3.5</v>
      </c>
      <c r="V13" s="41">
        <v>12</v>
      </c>
      <c r="X13">
        <f>H13</f>
        <v>350</v>
      </c>
      <c r="Y13" s="104">
        <f t="shared" si="5"/>
        <v>23850</v>
      </c>
      <c r="AA13" s="12"/>
      <c r="AB13" s="12"/>
      <c r="AC13" s="111">
        <f t="shared" si="6"/>
        <v>154.55000000000001</v>
      </c>
      <c r="AD13" s="14">
        <f t="shared" ref="AD13" si="9">(H10+H15)/2</f>
        <v>184.375</v>
      </c>
      <c r="AE13" s="13">
        <f t="shared" si="7"/>
        <v>197</v>
      </c>
      <c r="AF13" s="114">
        <f t="shared" si="4"/>
        <v>230</v>
      </c>
      <c r="AG13" s="115">
        <f t="shared" si="4"/>
        <v>265.27499999999998</v>
      </c>
      <c r="AH13" s="116">
        <f t="shared" si="4"/>
        <v>291.32499999999999</v>
      </c>
      <c r="AI13" s="117">
        <f t="shared" si="4"/>
        <v>300.02499999999998</v>
      </c>
      <c r="AM13" s="122"/>
      <c r="AN13" s="122"/>
      <c r="AO13" s="128"/>
      <c r="AP13" s="125"/>
      <c r="AQ13" s="123"/>
      <c r="AR13" s="126"/>
      <c r="AS13" s="126"/>
    </row>
    <row r="14" spans="1:45" ht="28.2" thickBot="1">
      <c r="A14" s="72" t="s">
        <v>0</v>
      </c>
      <c r="B14" s="73">
        <v>46238</v>
      </c>
      <c r="C14" s="72" t="s">
        <v>20</v>
      </c>
      <c r="D14" s="74">
        <v>23900</v>
      </c>
      <c r="E14" s="72">
        <v>50</v>
      </c>
      <c r="F14" s="72">
        <v>55</v>
      </c>
      <c r="G14" s="72">
        <v>39.25</v>
      </c>
      <c r="H14" s="72">
        <v>50</v>
      </c>
      <c r="I14" s="30">
        <f>(H14+H15)/2</f>
        <v>195</v>
      </c>
      <c r="J14" s="30">
        <f>(H19+H10)/2</f>
        <v>134.875</v>
      </c>
      <c r="K14" s="26">
        <f>(H16+H13)/2</f>
        <v>204.45</v>
      </c>
      <c r="L14" s="26">
        <f>(H18+H11)/2</f>
        <v>244.67500000000001</v>
      </c>
      <c r="M14" s="26">
        <f>(H20+H9)/2</f>
        <v>283.32499999999999</v>
      </c>
      <c r="N14" s="26">
        <f>(H23+H7)/2</f>
        <v>310.64999999999998</v>
      </c>
      <c r="O14" s="26">
        <f>(H21+H8)/2</f>
        <v>111.125</v>
      </c>
      <c r="P14" s="37">
        <f>(H22+H6)/2</f>
        <v>92.524999999999991</v>
      </c>
      <c r="Q14" s="12">
        <f>(H14/4)</f>
        <v>12.5</v>
      </c>
      <c r="R14" s="12">
        <f t="shared" si="0"/>
        <v>45</v>
      </c>
      <c r="S14" s="12">
        <f t="shared" si="1"/>
        <v>5</v>
      </c>
      <c r="T14" s="12">
        <f t="shared" si="2"/>
        <v>49.5</v>
      </c>
      <c r="U14" s="12">
        <f t="shared" si="3"/>
        <v>0.5</v>
      </c>
      <c r="V14" s="41">
        <v>13</v>
      </c>
      <c r="Y14" s="104">
        <f t="shared" si="5"/>
        <v>23900</v>
      </c>
      <c r="Z14">
        <f>H14</f>
        <v>50</v>
      </c>
      <c r="AA14" s="12"/>
      <c r="AB14" s="12"/>
      <c r="AC14" s="111">
        <f t="shared" si="6"/>
        <v>134.875</v>
      </c>
      <c r="AD14" s="14">
        <f t="shared" ref="AD14" si="10">(H12+H17)/2</f>
        <v>166</v>
      </c>
      <c r="AE14" s="13">
        <f t="shared" si="7"/>
        <v>195</v>
      </c>
      <c r="AF14" s="114">
        <f t="shared" si="4"/>
        <v>204.45</v>
      </c>
      <c r="AG14" s="115">
        <f t="shared" si="4"/>
        <v>244.67500000000001</v>
      </c>
      <c r="AH14" s="116">
        <f t="shared" si="4"/>
        <v>283.32499999999999</v>
      </c>
      <c r="AI14" s="117">
        <f t="shared" si="4"/>
        <v>310.64999999999998</v>
      </c>
      <c r="AM14" s="122"/>
      <c r="AN14" s="122"/>
      <c r="AO14" s="128"/>
      <c r="AP14" s="125"/>
      <c r="AQ14" s="123"/>
      <c r="AR14" s="126"/>
      <c r="AS14" s="126"/>
    </row>
    <row r="15" spans="1:45" ht="28.2" thickBot="1">
      <c r="A15" s="72" t="s">
        <v>0</v>
      </c>
      <c r="B15" s="73">
        <v>46238</v>
      </c>
      <c r="C15" s="72" t="s">
        <v>1</v>
      </c>
      <c r="D15" s="74">
        <v>23900</v>
      </c>
      <c r="E15" s="72">
        <v>340</v>
      </c>
      <c r="F15" s="72">
        <v>367.35</v>
      </c>
      <c r="G15" s="72">
        <v>306.55</v>
      </c>
      <c r="H15" s="72">
        <v>340</v>
      </c>
      <c r="I15" s="30">
        <f>(H14+H15)/2</f>
        <v>195</v>
      </c>
      <c r="J15" s="30">
        <f>(H19+H10)/2</f>
        <v>134.875</v>
      </c>
      <c r="K15" s="26">
        <f>(H16+H13)/2</f>
        <v>204.45</v>
      </c>
      <c r="L15" s="26">
        <f>(H18+H11)/2</f>
        <v>244.67500000000001</v>
      </c>
      <c r="M15" s="26">
        <f>(H20+H9)/2</f>
        <v>283.32499999999999</v>
      </c>
      <c r="N15" s="26">
        <f>(H23+H7)/2</f>
        <v>310.64999999999998</v>
      </c>
      <c r="O15" s="26">
        <f>(H21+H8)/2</f>
        <v>111.125</v>
      </c>
      <c r="P15" s="37">
        <f>(H22+H6)/2</f>
        <v>92.524999999999991</v>
      </c>
      <c r="Q15" s="12">
        <f>(H15)/4</f>
        <v>85</v>
      </c>
      <c r="R15" s="12">
        <f t="shared" si="0"/>
        <v>306</v>
      </c>
      <c r="S15" s="12">
        <f t="shared" si="1"/>
        <v>34</v>
      </c>
      <c r="T15" s="12">
        <f t="shared" si="2"/>
        <v>336.59999999999997</v>
      </c>
      <c r="U15" s="12">
        <f t="shared" si="3"/>
        <v>3.4000000000000341</v>
      </c>
      <c r="V15" s="41">
        <v>14</v>
      </c>
      <c r="X15">
        <f>H15</f>
        <v>340</v>
      </c>
      <c r="Y15" s="104">
        <f t="shared" si="5"/>
        <v>23900</v>
      </c>
      <c r="AA15" s="12"/>
      <c r="AB15" s="12"/>
      <c r="AC15" s="111">
        <f t="shared" si="6"/>
        <v>134.875</v>
      </c>
      <c r="AD15" s="14">
        <f t="shared" ref="AD15" si="11">(H12+H17)/2</f>
        <v>166</v>
      </c>
      <c r="AE15" s="13">
        <f t="shared" si="7"/>
        <v>195</v>
      </c>
      <c r="AF15" s="114">
        <f t="shared" si="4"/>
        <v>204.45</v>
      </c>
      <c r="AG15" s="115">
        <f t="shared" si="4"/>
        <v>244.67500000000001</v>
      </c>
      <c r="AH15" s="116">
        <f t="shared" si="4"/>
        <v>283.32499999999999</v>
      </c>
      <c r="AI15" s="117">
        <f t="shared" si="4"/>
        <v>310.64999999999998</v>
      </c>
      <c r="AM15" s="122"/>
      <c r="AN15" s="122"/>
      <c r="AO15" s="128"/>
      <c r="AP15" s="125"/>
      <c r="AQ15" s="123"/>
      <c r="AR15" s="126"/>
      <c r="AS15" s="126"/>
    </row>
    <row r="16" spans="1:45" ht="28.2" thickBot="1">
      <c r="A16" s="72" t="s">
        <v>0</v>
      </c>
      <c r="B16" s="73">
        <v>46238</v>
      </c>
      <c r="C16" s="72" t="s">
        <v>20</v>
      </c>
      <c r="D16" s="74">
        <v>23950</v>
      </c>
      <c r="E16" s="72">
        <v>58.9</v>
      </c>
      <c r="F16" s="72">
        <v>65.45</v>
      </c>
      <c r="G16" s="72">
        <v>48.55</v>
      </c>
      <c r="H16" s="72">
        <v>58.9</v>
      </c>
      <c r="I16" s="30">
        <f>(H16+H17)/2</f>
        <v>173.45</v>
      </c>
      <c r="J16" s="30">
        <f>(H21+H12)/2</f>
        <v>122.575</v>
      </c>
      <c r="K16" s="26">
        <f>(H18+H15)/2</f>
        <v>209.67500000000001</v>
      </c>
      <c r="L16" s="26">
        <f>(H20+H13)/2</f>
        <v>222.5</v>
      </c>
      <c r="M16" s="26">
        <f>(H23+H11)/2</f>
        <v>264</v>
      </c>
      <c r="N16" s="26">
        <f>(H25+H9)/2</f>
        <v>300.82499999999999</v>
      </c>
      <c r="O16" s="26">
        <f>(H22+H10)/2</f>
        <v>96.974999999999994</v>
      </c>
      <c r="P16" s="37">
        <f>(H24+H8)/2</f>
        <v>85.575000000000003</v>
      </c>
      <c r="Q16" s="12">
        <f>(H16/4)</f>
        <v>14.725</v>
      </c>
      <c r="R16" s="12">
        <f t="shared" si="0"/>
        <v>53.01</v>
      </c>
      <c r="S16" s="12">
        <f t="shared" si="1"/>
        <v>5.8900000000000006</v>
      </c>
      <c r="T16" s="12">
        <f t="shared" si="2"/>
        <v>58.311</v>
      </c>
      <c r="U16" s="12">
        <f t="shared" si="3"/>
        <v>0.58899999999999864</v>
      </c>
      <c r="V16" s="41">
        <v>15</v>
      </c>
      <c r="Y16" s="104">
        <f t="shared" si="5"/>
        <v>23950</v>
      </c>
      <c r="Z16">
        <f>H16</f>
        <v>58.9</v>
      </c>
      <c r="AA16" s="12"/>
      <c r="AB16" s="12"/>
      <c r="AC16" s="111">
        <f t="shared" si="6"/>
        <v>122.575</v>
      </c>
      <c r="AD16" s="14">
        <f t="shared" ref="AD16" si="12">(H14+H19)/2</f>
        <v>145.5</v>
      </c>
      <c r="AE16" s="13">
        <f t="shared" si="7"/>
        <v>173.45</v>
      </c>
      <c r="AF16" s="114">
        <f t="shared" si="4"/>
        <v>209.67500000000001</v>
      </c>
      <c r="AG16" s="115">
        <f t="shared" si="4"/>
        <v>222.5</v>
      </c>
      <c r="AH16" s="116">
        <f t="shared" si="4"/>
        <v>264</v>
      </c>
      <c r="AI16" s="117">
        <f t="shared" si="4"/>
        <v>300.82499999999999</v>
      </c>
      <c r="AM16" s="122"/>
      <c r="AN16" s="122"/>
      <c r="AO16" s="128"/>
      <c r="AP16" s="125"/>
      <c r="AQ16" s="123"/>
      <c r="AR16" s="126"/>
      <c r="AS16" s="126"/>
    </row>
    <row r="17" spans="1:45" ht="28.2" thickBot="1">
      <c r="A17" s="72" t="s">
        <v>0</v>
      </c>
      <c r="B17" s="73">
        <v>46238</v>
      </c>
      <c r="C17" s="72" t="s">
        <v>1</v>
      </c>
      <c r="D17" s="74">
        <v>23950</v>
      </c>
      <c r="E17" s="72">
        <v>288</v>
      </c>
      <c r="F17" s="72">
        <v>326.95</v>
      </c>
      <c r="G17" s="72">
        <v>263.5</v>
      </c>
      <c r="H17" s="72">
        <v>288</v>
      </c>
      <c r="I17" s="30">
        <f>(H16+H17)/2</f>
        <v>173.45</v>
      </c>
      <c r="J17" s="30">
        <f>(H21+H12)/2</f>
        <v>122.575</v>
      </c>
      <c r="K17" s="26">
        <f>(H18+H15)/2</f>
        <v>209.67500000000001</v>
      </c>
      <c r="L17" s="26">
        <f>(H20+H13)/2</f>
        <v>222.5</v>
      </c>
      <c r="M17" s="26">
        <f>(H23+H11)/2</f>
        <v>264</v>
      </c>
      <c r="N17" s="26">
        <f>(H25+H9)/2</f>
        <v>300.82499999999999</v>
      </c>
      <c r="O17" s="26">
        <f>(H22+H10)/2</f>
        <v>96.974999999999994</v>
      </c>
      <c r="P17" s="37">
        <f>(H24+H8)/2</f>
        <v>85.575000000000003</v>
      </c>
      <c r="Q17" s="12">
        <f>(H17)/4</f>
        <v>72</v>
      </c>
      <c r="R17" s="12">
        <f t="shared" si="0"/>
        <v>259.2</v>
      </c>
      <c r="S17" s="12">
        <f t="shared" si="1"/>
        <v>28.800000000000011</v>
      </c>
      <c r="T17" s="12">
        <f t="shared" si="2"/>
        <v>285.12</v>
      </c>
      <c r="U17" s="12">
        <f t="shared" si="3"/>
        <v>2.8799999999999955</v>
      </c>
      <c r="V17" s="41">
        <v>16</v>
      </c>
      <c r="X17">
        <f>H17</f>
        <v>288</v>
      </c>
      <c r="Y17" s="104">
        <f t="shared" si="5"/>
        <v>23950</v>
      </c>
      <c r="AA17" s="12"/>
      <c r="AB17" s="12"/>
      <c r="AC17" s="111">
        <f t="shared" si="6"/>
        <v>122.575</v>
      </c>
      <c r="AD17" s="14">
        <f t="shared" ref="AD17" si="13">(H14+H19)/2</f>
        <v>145.5</v>
      </c>
      <c r="AE17" s="13">
        <f t="shared" si="7"/>
        <v>173.45</v>
      </c>
      <c r="AF17" s="114">
        <f t="shared" si="4"/>
        <v>209.67500000000001</v>
      </c>
      <c r="AG17" s="115">
        <f t="shared" si="4"/>
        <v>222.5</v>
      </c>
      <c r="AH17" s="116">
        <f t="shared" si="4"/>
        <v>264</v>
      </c>
      <c r="AI17" s="117">
        <f t="shared" si="4"/>
        <v>300.82499999999999</v>
      </c>
      <c r="AM17" s="122"/>
      <c r="AN17" s="122"/>
      <c r="AO17" s="128"/>
      <c r="AP17" s="125"/>
      <c r="AQ17" s="123"/>
      <c r="AR17" s="126"/>
      <c r="AS17" s="126"/>
    </row>
    <row r="18" spans="1:45" ht="28.2" thickBot="1">
      <c r="A18" s="72" t="s">
        <v>0</v>
      </c>
      <c r="B18" s="73">
        <v>46238</v>
      </c>
      <c r="C18" s="72" t="s">
        <v>20</v>
      </c>
      <c r="D18" s="74">
        <v>24000</v>
      </c>
      <c r="E18" s="72">
        <v>79.349999999999994</v>
      </c>
      <c r="F18" s="72">
        <v>79.599999999999994</v>
      </c>
      <c r="G18" s="72">
        <v>59.6</v>
      </c>
      <c r="H18" s="72">
        <v>79.349999999999994</v>
      </c>
      <c r="I18" s="30">
        <f>(H18+H19)/2</f>
        <v>160.17500000000001</v>
      </c>
      <c r="J18" s="30">
        <f>(H22+H14)/2</f>
        <v>107.6</v>
      </c>
      <c r="K18" s="26">
        <f>(H20+H15)/2</f>
        <v>217.5</v>
      </c>
      <c r="L18" s="26">
        <f>(H23+H15)/2</f>
        <v>229</v>
      </c>
      <c r="M18" s="26">
        <f>(H25+H13)/2</f>
        <v>240</v>
      </c>
      <c r="N18" s="26">
        <f>(H27+H11)/2</f>
        <v>287.89999999999998</v>
      </c>
      <c r="O18" s="26">
        <f>(H24+H12)/2</f>
        <v>97.025000000000006</v>
      </c>
      <c r="P18" s="37">
        <f>(H26+H10)/2</f>
        <v>74.325000000000003</v>
      </c>
      <c r="Q18" s="12">
        <f>(H18/4)</f>
        <v>19.837499999999999</v>
      </c>
      <c r="R18" s="12">
        <f t="shared" si="0"/>
        <v>71.414999999999992</v>
      </c>
      <c r="S18" s="12">
        <f t="shared" si="1"/>
        <v>7.9350000000000023</v>
      </c>
      <c r="T18" s="12">
        <f t="shared" si="2"/>
        <v>78.5565</v>
      </c>
      <c r="U18" s="12">
        <f t="shared" si="3"/>
        <v>0.79349999999999454</v>
      </c>
      <c r="V18" s="41">
        <v>17</v>
      </c>
      <c r="Y18" s="104">
        <f t="shared" si="5"/>
        <v>24000</v>
      </c>
      <c r="Z18">
        <f>H18</f>
        <v>79.349999999999994</v>
      </c>
      <c r="AA18" s="12"/>
      <c r="AB18" s="12"/>
      <c r="AC18" s="111">
        <f t="shared" si="6"/>
        <v>107.6</v>
      </c>
      <c r="AD18" s="14">
        <f t="shared" ref="AD18" si="14">(H16+H21)/2</f>
        <v>130.02500000000001</v>
      </c>
      <c r="AE18" s="13">
        <f t="shared" si="7"/>
        <v>160.17500000000001</v>
      </c>
      <c r="AF18" s="114">
        <f t="shared" si="4"/>
        <v>217.5</v>
      </c>
      <c r="AG18" s="115">
        <f t="shared" si="4"/>
        <v>229</v>
      </c>
      <c r="AH18" s="116">
        <f t="shared" si="4"/>
        <v>240</v>
      </c>
      <c r="AI18" s="117">
        <f t="shared" si="4"/>
        <v>287.89999999999998</v>
      </c>
      <c r="AM18" s="122"/>
      <c r="AN18" s="122"/>
      <c r="AO18" s="128"/>
      <c r="AP18" s="125"/>
      <c r="AQ18" s="123"/>
      <c r="AR18" s="126"/>
      <c r="AS18" s="126"/>
    </row>
    <row r="19" spans="1:45" ht="28.2" thickBot="1">
      <c r="A19" s="72" t="s">
        <v>0</v>
      </c>
      <c r="B19" s="73">
        <v>46238</v>
      </c>
      <c r="C19" s="72" t="s">
        <v>1</v>
      </c>
      <c r="D19" s="74">
        <v>24000</v>
      </c>
      <c r="E19" s="72">
        <v>241</v>
      </c>
      <c r="F19" s="72">
        <v>287.64999999999998</v>
      </c>
      <c r="G19" s="72">
        <v>225.1</v>
      </c>
      <c r="H19" s="72">
        <v>241</v>
      </c>
      <c r="I19" s="30">
        <f>(H18+H19)/2</f>
        <v>160.17500000000001</v>
      </c>
      <c r="J19" s="30">
        <f>(H22+H14)/2</f>
        <v>107.6</v>
      </c>
      <c r="K19" s="26">
        <f>(H20+H15)/2</f>
        <v>217.5</v>
      </c>
      <c r="L19" s="26">
        <f>(H23+H15)/2</f>
        <v>229</v>
      </c>
      <c r="M19" s="26">
        <f>(H25+H13)/2</f>
        <v>240</v>
      </c>
      <c r="N19" s="26">
        <f>(H27+H11)/2</f>
        <v>287.89999999999998</v>
      </c>
      <c r="O19" s="26">
        <f>(H24+H12)/2</f>
        <v>97.025000000000006</v>
      </c>
      <c r="P19" s="37">
        <f>(H26+H10)/2</f>
        <v>74.325000000000003</v>
      </c>
      <c r="Q19" s="12">
        <f>(H19)/4</f>
        <v>60.25</v>
      </c>
      <c r="R19" s="12">
        <f t="shared" si="0"/>
        <v>216.9</v>
      </c>
      <c r="S19" s="12">
        <f t="shared" si="1"/>
        <v>24.099999999999994</v>
      </c>
      <c r="T19" s="12">
        <f t="shared" si="2"/>
        <v>238.59</v>
      </c>
      <c r="U19" s="12">
        <f t="shared" si="3"/>
        <v>2.4099999999999966</v>
      </c>
      <c r="V19" s="41">
        <v>18</v>
      </c>
      <c r="X19">
        <f>H19</f>
        <v>241</v>
      </c>
      <c r="Y19" s="104">
        <f t="shared" si="5"/>
        <v>24000</v>
      </c>
      <c r="AA19" s="12"/>
      <c r="AB19" s="12"/>
      <c r="AC19" s="111">
        <f t="shared" si="6"/>
        <v>107.6</v>
      </c>
      <c r="AD19" s="14">
        <f t="shared" ref="AD19" si="15">(H16+H21)/2</f>
        <v>130.02500000000001</v>
      </c>
      <c r="AE19" s="13">
        <f t="shared" si="7"/>
        <v>160.17500000000001</v>
      </c>
      <c r="AF19" s="114">
        <f t="shared" si="4"/>
        <v>217.5</v>
      </c>
      <c r="AG19" s="115">
        <f t="shared" si="4"/>
        <v>229</v>
      </c>
      <c r="AH19" s="116">
        <f t="shared" si="4"/>
        <v>240</v>
      </c>
      <c r="AI19" s="117">
        <f t="shared" si="4"/>
        <v>287.89999999999998</v>
      </c>
      <c r="AM19" s="122"/>
      <c r="AN19" s="122"/>
      <c r="AO19" s="128"/>
      <c r="AP19" s="125"/>
      <c r="AQ19" s="123"/>
      <c r="AR19" s="126"/>
      <c r="AS19" s="126"/>
    </row>
    <row r="20" spans="1:45" ht="28.2" thickBot="1">
      <c r="A20" s="72" t="s">
        <v>0</v>
      </c>
      <c r="B20" s="73">
        <v>46238</v>
      </c>
      <c r="C20" s="72" t="s">
        <v>20</v>
      </c>
      <c r="D20" s="74">
        <v>24050</v>
      </c>
      <c r="E20" s="72">
        <v>95</v>
      </c>
      <c r="F20" s="72">
        <v>95.95</v>
      </c>
      <c r="G20" s="72">
        <v>72.8</v>
      </c>
      <c r="H20" s="72">
        <v>95</v>
      </c>
      <c r="I20" s="43">
        <f>(H20+H21)/2</f>
        <v>148.07499999999999</v>
      </c>
      <c r="J20">
        <f>(H24+H16)/2</f>
        <v>104.47500000000001</v>
      </c>
      <c r="K20">
        <f>(H23+H19)/2</f>
        <v>179.5</v>
      </c>
      <c r="L20">
        <f>(H25+H17)/2</f>
        <v>209</v>
      </c>
      <c r="M20">
        <f>(H27+H15)/2</f>
        <v>252.9</v>
      </c>
      <c r="N20">
        <f>(H29+H13)/2</f>
        <v>264.7</v>
      </c>
      <c r="O20">
        <f>(H26+H14)/2</f>
        <v>84.95</v>
      </c>
      <c r="P20">
        <f>(H28+H12)/2</f>
        <v>68.25</v>
      </c>
      <c r="Q20" s="12">
        <f>(H20/4)</f>
        <v>23.75</v>
      </c>
      <c r="R20" s="12">
        <f t="shared" si="0"/>
        <v>85.5</v>
      </c>
      <c r="S20" s="12">
        <f t="shared" si="1"/>
        <v>9.5</v>
      </c>
      <c r="T20" s="12">
        <f t="shared" si="2"/>
        <v>94.05</v>
      </c>
      <c r="U20" s="12">
        <f t="shared" si="3"/>
        <v>0.95000000000000284</v>
      </c>
      <c r="V20" s="41">
        <v>19</v>
      </c>
      <c r="Y20" s="104">
        <f t="shared" si="5"/>
        <v>24050</v>
      </c>
      <c r="Z20">
        <f>H20</f>
        <v>95</v>
      </c>
      <c r="AA20" s="12"/>
      <c r="AB20" s="12"/>
      <c r="AC20" s="111">
        <f t="shared" si="6"/>
        <v>104.47500000000001</v>
      </c>
      <c r="AD20" s="14">
        <f>(H18+H22)/2</f>
        <v>122.27499999999999</v>
      </c>
      <c r="AE20" s="13">
        <f t="shared" si="7"/>
        <v>148.07499999999999</v>
      </c>
      <c r="AF20" s="114">
        <f t="shared" si="4"/>
        <v>179.5</v>
      </c>
      <c r="AG20" s="115">
        <f t="shared" si="4"/>
        <v>209</v>
      </c>
      <c r="AH20" s="116">
        <f t="shared" si="4"/>
        <v>252.9</v>
      </c>
      <c r="AI20" s="117">
        <f t="shared" si="4"/>
        <v>264.7</v>
      </c>
      <c r="AM20" s="122"/>
      <c r="AN20" s="122"/>
      <c r="AO20" s="128"/>
      <c r="AP20" s="125"/>
      <c r="AQ20" s="123"/>
      <c r="AR20" s="126"/>
      <c r="AS20" s="126"/>
    </row>
    <row r="21" spans="1:45" ht="28.2" thickBot="1">
      <c r="A21" s="160" t="s">
        <v>0</v>
      </c>
      <c r="B21" s="161">
        <v>46238</v>
      </c>
      <c r="C21" s="160" t="s">
        <v>1</v>
      </c>
      <c r="D21" s="162">
        <v>24050</v>
      </c>
      <c r="E21" s="160">
        <v>201.15</v>
      </c>
      <c r="F21" s="160">
        <v>251</v>
      </c>
      <c r="G21" s="160">
        <v>199.85</v>
      </c>
      <c r="H21" s="160">
        <v>201.15</v>
      </c>
      <c r="I21" s="43">
        <f>(H20+H21)/2</f>
        <v>148.07499999999999</v>
      </c>
      <c r="J21" s="31">
        <f>(H24+H16)/2</f>
        <v>104.47500000000001</v>
      </c>
      <c r="K21" s="31">
        <f>(H23+H19)/2</f>
        <v>179.5</v>
      </c>
      <c r="L21" s="31">
        <f>(H25+H17)/2</f>
        <v>209</v>
      </c>
      <c r="M21" s="31">
        <f>(H27+H15)/2</f>
        <v>252.9</v>
      </c>
      <c r="N21" s="31">
        <f>(H29+H13)/2</f>
        <v>264.7</v>
      </c>
      <c r="O21" s="31">
        <f>(H26+H14)/2</f>
        <v>84.95</v>
      </c>
      <c r="P21" s="31">
        <f>(H28+H12)/2</f>
        <v>68.25</v>
      </c>
      <c r="Q21" s="12">
        <f t="shared" ref="Q21:Q22" si="16">(H21)/4</f>
        <v>50.287500000000001</v>
      </c>
      <c r="R21" s="12">
        <f t="shared" si="0"/>
        <v>181.035</v>
      </c>
      <c r="S21" s="12">
        <f t="shared" si="1"/>
        <v>20.115000000000009</v>
      </c>
      <c r="T21" s="12">
        <f t="shared" si="2"/>
        <v>199.13849999999999</v>
      </c>
      <c r="U21" s="12">
        <f t="shared" si="3"/>
        <v>2.0115000000000123</v>
      </c>
      <c r="V21" s="42">
        <v>20</v>
      </c>
      <c r="X21" s="105">
        <f>H21</f>
        <v>201.15</v>
      </c>
      <c r="Y21" s="106">
        <f t="shared" si="5"/>
        <v>24050</v>
      </c>
      <c r="Z21" s="105"/>
      <c r="AA21" s="110"/>
      <c r="AB21" s="12"/>
      <c r="AC21" s="111">
        <f t="shared" si="6"/>
        <v>104.47500000000001</v>
      </c>
      <c r="AD21" s="14">
        <f>(H18+H22)/2</f>
        <v>122.27499999999999</v>
      </c>
      <c r="AE21" s="13">
        <f t="shared" si="7"/>
        <v>148.07499999999999</v>
      </c>
      <c r="AF21" s="114">
        <f t="shared" si="4"/>
        <v>179.5</v>
      </c>
      <c r="AG21" s="115">
        <f t="shared" si="4"/>
        <v>209</v>
      </c>
      <c r="AH21" s="116">
        <f t="shared" si="4"/>
        <v>252.9</v>
      </c>
      <c r="AI21" s="117">
        <f t="shared" si="4"/>
        <v>264.7</v>
      </c>
      <c r="AM21" s="131">
        <f>+Y24+X24</f>
        <v>24300.05</v>
      </c>
      <c r="AN21" s="131">
        <f>Y22+X22</f>
        <v>24265.200000000001</v>
      </c>
      <c r="AO21" s="129">
        <f>Y21+X21</f>
        <v>24251.15</v>
      </c>
      <c r="AP21" s="125">
        <f>(X21)-(Z20)</f>
        <v>106.15</v>
      </c>
      <c r="AQ21" s="130">
        <f>Y20-Z20</f>
        <v>23955</v>
      </c>
      <c r="AR21" s="132">
        <f>Y18-Z18</f>
        <v>23920.65</v>
      </c>
      <c r="AS21" s="132">
        <f>Y16-Z16</f>
        <v>23891.1</v>
      </c>
    </row>
    <row r="22" spans="1:45" ht="28.2" thickBot="1">
      <c r="A22" s="72" t="s">
        <v>0</v>
      </c>
      <c r="B22" s="73">
        <v>46238</v>
      </c>
      <c r="C22" s="72" t="s">
        <v>1</v>
      </c>
      <c r="D22" s="74">
        <v>24100</v>
      </c>
      <c r="E22" s="72">
        <v>165.2</v>
      </c>
      <c r="F22" s="72">
        <v>216.5</v>
      </c>
      <c r="G22" s="72">
        <v>165.15</v>
      </c>
      <c r="H22" s="72">
        <v>165.2</v>
      </c>
      <c r="I22" s="35">
        <f>(H22+H23)/2</f>
        <v>141.6</v>
      </c>
      <c r="J22" s="35">
        <f>J23</f>
        <v>99.625</v>
      </c>
      <c r="K22" s="27">
        <f>(H25+H21)/2</f>
        <v>165.57499999999999</v>
      </c>
      <c r="L22" s="27">
        <f>(H27+H19)/2</f>
        <v>203.4</v>
      </c>
      <c r="M22" s="27">
        <f>(H29+H17)/2</f>
        <v>233.7</v>
      </c>
      <c r="N22" s="27">
        <f>(H31+H15)/2</f>
        <v>280</v>
      </c>
      <c r="O22" s="27">
        <f>(H28+H18)/2</f>
        <v>85.924999999999997</v>
      </c>
      <c r="P22" s="38">
        <f>(H30+H14)/2</f>
        <v>69.375</v>
      </c>
      <c r="Q22" s="12">
        <f t="shared" si="16"/>
        <v>41.3</v>
      </c>
      <c r="R22" s="12">
        <f t="shared" si="0"/>
        <v>148.67999999999998</v>
      </c>
      <c r="S22" s="12">
        <f t="shared" si="1"/>
        <v>16.52000000000001</v>
      </c>
      <c r="T22" s="12">
        <f t="shared" si="2"/>
        <v>163.548</v>
      </c>
      <c r="U22" s="12">
        <f t="shared" si="3"/>
        <v>1.6519999999999868</v>
      </c>
      <c r="V22" s="41">
        <v>21</v>
      </c>
      <c r="X22">
        <f>H22</f>
        <v>165.2</v>
      </c>
      <c r="Y22" s="104">
        <f t="shared" si="5"/>
        <v>24100</v>
      </c>
      <c r="AA22" s="12"/>
      <c r="AB22" s="12"/>
      <c r="AC22" s="111">
        <f t="shared" si="6"/>
        <v>99.625</v>
      </c>
      <c r="AD22" s="14">
        <f>(H20+H24)/2</f>
        <v>122.52500000000001</v>
      </c>
      <c r="AE22" s="13">
        <f t="shared" si="7"/>
        <v>141.6</v>
      </c>
      <c r="AF22" s="114">
        <f t="shared" si="4"/>
        <v>165.57499999999999</v>
      </c>
      <c r="AG22" s="115">
        <f t="shared" si="4"/>
        <v>203.4</v>
      </c>
      <c r="AH22" s="116">
        <f t="shared" si="4"/>
        <v>233.7</v>
      </c>
      <c r="AI22" s="117">
        <f t="shared" si="4"/>
        <v>280</v>
      </c>
      <c r="AM22" s="122"/>
      <c r="AN22" s="122"/>
      <c r="AO22" s="128"/>
      <c r="AP22" s="125"/>
      <c r="AQ22" s="123"/>
      <c r="AR22" s="126"/>
      <c r="AS22" s="126"/>
    </row>
    <row r="23" spans="1:45" ht="28.2" thickBot="1">
      <c r="A23" s="72" t="s">
        <v>0</v>
      </c>
      <c r="B23" s="73">
        <v>46238</v>
      </c>
      <c r="C23" s="72" t="s">
        <v>20</v>
      </c>
      <c r="D23" s="74">
        <v>24100</v>
      </c>
      <c r="E23" s="72">
        <v>118</v>
      </c>
      <c r="F23" s="72">
        <v>118</v>
      </c>
      <c r="G23" s="72">
        <v>88.6</v>
      </c>
      <c r="H23" s="72">
        <v>118</v>
      </c>
      <c r="I23" s="35">
        <f>(H22+H23)/2</f>
        <v>141.6</v>
      </c>
      <c r="J23" s="35">
        <f>(H26+H18)/2</f>
        <v>99.625</v>
      </c>
      <c r="K23" s="27">
        <f>(H25+H21)/2</f>
        <v>165.57499999999999</v>
      </c>
      <c r="L23" s="27">
        <f>(H27+H19)/2</f>
        <v>203.4</v>
      </c>
      <c r="M23" s="27">
        <f>(H29+H17)/2</f>
        <v>233.7</v>
      </c>
      <c r="N23" s="27">
        <f>(H31+H15)/2</f>
        <v>280</v>
      </c>
      <c r="O23" s="27">
        <f>(H28+H18)/2</f>
        <v>85.924999999999997</v>
      </c>
      <c r="P23" s="38">
        <f>(H30+H14)/2</f>
        <v>69.375</v>
      </c>
      <c r="Q23" s="12">
        <f>(H23/4)</f>
        <v>29.5</v>
      </c>
      <c r="R23" s="12">
        <f t="shared" si="0"/>
        <v>106.19999999999999</v>
      </c>
      <c r="S23" s="12">
        <f t="shared" si="1"/>
        <v>11.800000000000011</v>
      </c>
      <c r="T23" s="12">
        <f t="shared" si="2"/>
        <v>116.82</v>
      </c>
      <c r="U23" s="12">
        <f t="shared" si="3"/>
        <v>1.1800000000000068</v>
      </c>
      <c r="V23" s="41">
        <v>22</v>
      </c>
      <c r="Y23" s="104">
        <f t="shared" si="5"/>
        <v>24100</v>
      </c>
      <c r="Z23">
        <f>H23</f>
        <v>118</v>
      </c>
      <c r="AA23" s="12"/>
      <c r="AB23" s="12"/>
      <c r="AC23" s="111">
        <f t="shared" si="6"/>
        <v>99.625</v>
      </c>
      <c r="AD23" s="14">
        <f>(H20+H24)/2</f>
        <v>122.52500000000001</v>
      </c>
      <c r="AE23" s="13">
        <f t="shared" si="7"/>
        <v>141.6</v>
      </c>
      <c r="AF23" s="114">
        <f t="shared" si="4"/>
        <v>165.57499999999999</v>
      </c>
      <c r="AG23" s="115">
        <f t="shared" si="4"/>
        <v>203.4</v>
      </c>
      <c r="AH23" s="116">
        <f t="shared" si="4"/>
        <v>233.7</v>
      </c>
      <c r="AI23" s="117">
        <f t="shared" si="4"/>
        <v>280</v>
      </c>
      <c r="AM23" s="122"/>
      <c r="AN23" s="122"/>
      <c r="AO23" s="128"/>
      <c r="AP23" s="125"/>
      <c r="AQ23" s="123"/>
      <c r="AR23" s="126"/>
      <c r="AS23" s="126"/>
    </row>
    <row r="24" spans="1:45" ht="28.2" thickBot="1">
      <c r="A24" s="72" t="s">
        <v>0</v>
      </c>
      <c r="B24" s="73">
        <v>46238</v>
      </c>
      <c r="C24" s="72" t="s">
        <v>1</v>
      </c>
      <c r="D24" s="74">
        <v>24150</v>
      </c>
      <c r="E24" s="72">
        <v>150.05000000000001</v>
      </c>
      <c r="F24" s="72">
        <v>184.6</v>
      </c>
      <c r="G24" s="72">
        <v>141</v>
      </c>
      <c r="H24" s="72">
        <v>150.05000000000001</v>
      </c>
      <c r="I24" s="35">
        <f>(H24+H25)/2</f>
        <v>140.02500000000001</v>
      </c>
      <c r="J24" s="35">
        <f>(H28+H20)/2</f>
        <v>93.75</v>
      </c>
      <c r="K24" s="27">
        <f>(H27+H22)/2</f>
        <v>165.5</v>
      </c>
      <c r="L24" s="27">
        <f>(H29+H21)/2</f>
        <v>190.27500000000001</v>
      </c>
      <c r="M24" s="27">
        <f>(H31+H19)/2</f>
        <v>230.5</v>
      </c>
      <c r="N24" s="27">
        <f>(H33+H17)/2</f>
        <v>257.5</v>
      </c>
      <c r="O24" s="27">
        <f>(H30+H18)/2</f>
        <v>84.05</v>
      </c>
      <c r="P24" s="38">
        <f>(H32+H16)/2</f>
        <v>66.424999999999997</v>
      </c>
      <c r="Q24" s="12">
        <f>(H24)/4</f>
        <v>37.512500000000003</v>
      </c>
      <c r="R24" s="12">
        <f t="shared" si="0"/>
        <v>135.04500000000002</v>
      </c>
      <c r="S24" s="12">
        <f t="shared" si="1"/>
        <v>15.004999999999995</v>
      </c>
      <c r="T24" s="12">
        <f t="shared" si="2"/>
        <v>148.54950000000002</v>
      </c>
      <c r="U24" s="12">
        <f t="shared" si="3"/>
        <v>1.5004999999999882</v>
      </c>
      <c r="V24" s="41">
        <v>23</v>
      </c>
      <c r="X24">
        <f>H24</f>
        <v>150.05000000000001</v>
      </c>
      <c r="Y24" s="104">
        <f t="shared" si="5"/>
        <v>24150</v>
      </c>
      <c r="AA24" s="12"/>
      <c r="AB24" s="12"/>
      <c r="AC24" s="111">
        <f t="shared" si="6"/>
        <v>93.75</v>
      </c>
      <c r="AD24" s="14">
        <f>(H23+H26)/2</f>
        <v>118.95</v>
      </c>
      <c r="AE24" s="13">
        <f t="shared" si="7"/>
        <v>140.02500000000001</v>
      </c>
      <c r="AF24" s="114">
        <f t="shared" ref="AF24:AI31" si="17">K24</f>
        <v>165.5</v>
      </c>
      <c r="AG24" s="115">
        <f t="shared" si="17"/>
        <v>190.27500000000001</v>
      </c>
      <c r="AH24" s="116">
        <f t="shared" si="17"/>
        <v>230.5</v>
      </c>
      <c r="AI24" s="117">
        <f t="shared" si="17"/>
        <v>257.5</v>
      </c>
      <c r="AM24" s="122"/>
      <c r="AN24" s="122"/>
      <c r="AO24" s="128"/>
      <c r="AP24" s="125"/>
      <c r="AQ24" s="123"/>
      <c r="AR24" s="126"/>
      <c r="AS24" s="126"/>
    </row>
    <row r="25" spans="1:45" ht="28.2" thickBot="1">
      <c r="A25" s="72" t="s">
        <v>0</v>
      </c>
      <c r="B25" s="73">
        <v>46238</v>
      </c>
      <c r="C25" s="72" t="s">
        <v>20</v>
      </c>
      <c r="D25" s="74">
        <v>24150</v>
      </c>
      <c r="E25" s="72">
        <v>130</v>
      </c>
      <c r="F25" s="72">
        <v>137.30000000000001</v>
      </c>
      <c r="G25" s="72">
        <v>107</v>
      </c>
      <c r="H25" s="72">
        <v>130</v>
      </c>
      <c r="I25" s="35">
        <f>(H24+H25)/2</f>
        <v>140.02500000000001</v>
      </c>
      <c r="J25" s="35">
        <f>(H28+H20)/2</f>
        <v>93.75</v>
      </c>
      <c r="K25" s="27">
        <f>(H27+H22)/2</f>
        <v>165.5</v>
      </c>
      <c r="L25" s="27">
        <f>(H29+H21)/2</f>
        <v>190.27500000000001</v>
      </c>
      <c r="M25" s="27">
        <f>(H31+H19)/2</f>
        <v>230.5</v>
      </c>
      <c r="N25" s="27">
        <f>(H33+H17)/2</f>
        <v>257.5</v>
      </c>
      <c r="O25" s="27">
        <f>(H30+H18)/2</f>
        <v>84.05</v>
      </c>
      <c r="P25" s="38">
        <f>(H32+H16)/2</f>
        <v>66.424999999999997</v>
      </c>
      <c r="Q25" s="12">
        <f>(H25/4)</f>
        <v>32.5</v>
      </c>
      <c r="R25" s="12">
        <f t="shared" si="0"/>
        <v>117</v>
      </c>
      <c r="S25" s="12">
        <f t="shared" si="1"/>
        <v>13</v>
      </c>
      <c r="T25" s="12">
        <f t="shared" si="2"/>
        <v>128.70000000000002</v>
      </c>
      <c r="U25" s="12">
        <f t="shared" si="3"/>
        <v>1.2999999999999829</v>
      </c>
      <c r="V25" s="41">
        <v>24</v>
      </c>
      <c r="Y25" s="104">
        <f t="shared" si="5"/>
        <v>24150</v>
      </c>
      <c r="Z25">
        <f>H25</f>
        <v>130</v>
      </c>
      <c r="AA25" s="12"/>
      <c r="AB25" s="12"/>
      <c r="AC25" s="111">
        <f t="shared" si="6"/>
        <v>93.75</v>
      </c>
      <c r="AD25" s="14">
        <f>(H23+H26)/2</f>
        <v>118.95</v>
      </c>
      <c r="AE25" s="13">
        <f t="shared" si="7"/>
        <v>140.02500000000001</v>
      </c>
      <c r="AF25" s="114">
        <f t="shared" si="17"/>
        <v>165.5</v>
      </c>
      <c r="AG25" s="115">
        <f t="shared" si="17"/>
        <v>190.27500000000001</v>
      </c>
      <c r="AH25" s="116">
        <f t="shared" si="17"/>
        <v>230.5</v>
      </c>
      <c r="AI25" s="117">
        <f t="shared" si="17"/>
        <v>257.5</v>
      </c>
      <c r="AM25" s="122"/>
      <c r="AN25" s="122"/>
      <c r="AO25" s="128"/>
      <c r="AP25" s="125"/>
      <c r="AQ25" s="123"/>
      <c r="AR25" s="126"/>
      <c r="AS25" s="126"/>
    </row>
    <row r="26" spans="1:45" ht="28.2" thickBot="1">
      <c r="A26" s="72" t="s">
        <v>0</v>
      </c>
      <c r="B26" s="73">
        <v>46238</v>
      </c>
      <c r="C26" s="72" t="s">
        <v>1</v>
      </c>
      <c r="D26" s="74">
        <v>24200</v>
      </c>
      <c r="E26" s="72">
        <v>119.9</v>
      </c>
      <c r="F26" s="72">
        <v>154.80000000000001</v>
      </c>
      <c r="G26" s="72">
        <v>116</v>
      </c>
      <c r="H26" s="72">
        <v>119.9</v>
      </c>
      <c r="I26" s="35">
        <f>(H26+H27)/2</f>
        <v>142.85000000000002</v>
      </c>
      <c r="J26" s="35">
        <f>(H30+H23)/2</f>
        <v>103.375</v>
      </c>
      <c r="K26" s="27">
        <f>(H29+H24)/2</f>
        <v>164.72500000000002</v>
      </c>
      <c r="L26" s="27">
        <f>(H31+H22)/2</f>
        <v>192.6</v>
      </c>
      <c r="M26" s="27">
        <f>(H33+H21)/2</f>
        <v>214.07499999999999</v>
      </c>
      <c r="N26" s="27">
        <f>(H35+H19)/2</f>
        <v>258.45</v>
      </c>
      <c r="O26" s="27">
        <f>(H32+H20)/2</f>
        <v>84.474999999999994</v>
      </c>
      <c r="P26" s="38">
        <f>(H34+H18)/2</f>
        <v>64.150000000000006</v>
      </c>
      <c r="Q26" s="12">
        <f>(H26)/4</f>
        <v>29.975000000000001</v>
      </c>
      <c r="R26" s="12">
        <f t="shared" si="0"/>
        <v>107.91000000000001</v>
      </c>
      <c r="S26" s="12">
        <f t="shared" si="1"/>
        <v>11.989999999999995</v>
      </c>
      <c r="T26" s="12">
        <f t="shared" si="2"/>
        <v>118.70100000000001</v>
      </c>
      <c r="U26" s="12">
        <f t="shared" si="3"/>
        <v>1.1989999999999981</v>
      </c>
      <c r="V26" s="41">
        <v>25</v>
      </c>
      <c r="X26">
        <f>H26</f>
        <v>119.9</v>
      </c>
      <c r="Y26" s="104">
        <f t="shared" si="5"/>
        <v>24200</v>
      </c>
      <c r="AA26" s="12"/>
      <c r="AB26" s="12"/>
      <c r="AC26" s="111">
        <f t="shared" si="6"/>
        <v>103.375</v>
      </c>
      <c r="AD26" s="14">
        <f>(H25+H28)/2</f>
        <v>111.25</v>
      </c>
      <c r="AE26" s="13">
        <f t="shared" si="7"/>
        <v>142.85000000000002</v>
      </c>
      <c r="AF26" s="114">
        <f t="shared" si="17"/>
        <v>164.72500000000002</v>
      </c>
      <c r="AG26" s="115">
        <f t="shared" si="17"/>
        <v>192.6</v>
      </c>
      <c r="AH26" s="116">
        <f t="shared" si="17"/>
        <v>214.07499999999999</v>
      </c>
      <c r="AI26" s="117">
        <f t="shared" si="17"/>
        <v>258.45</v>
      </c>
      <c r="AM26" s="122"/>
      <c r="AN26" s="122"/>
      <c r="AO26" s="128"/>
      <c r="AP26" s="125"/>
      <c r="AQ26" s="123"/>
      <c r="AR26" s="126"/>
      <c r="AS26" s="126"/>
    </row>
    <row r="27" spans="1:45" ht="28.2" thickBot="1">
      <c r="A27" s="72" t="s">
        <v>0</v>
      </c>
      <c r="B27" s="73">
        <v>46238</v>
      </c>
      <c r="C27" s="72" t="s">
        <v>20</v>
      </c>
      <c r="D27" s="74">
        <v>24200</v>
      </c>
      <c r="E27" s="72">
        <v>165.8</v>
      </c>
      <c r="F27" s="72">
        <v>165.8</v>
      </c>
      <c r="G27" s="72">
        <v>128</v>
      </c>
      <c r="H27" s="72">
        <v>165.8</v>
      </c>
      <c r="I27" s="35">
        <f>(H26+H27)/2</f>
        <v>142.85000000000002</v>
      </c>
      <c r="J27" s="35">
        <f>(H30+H23)/2</f>
        <v>103.375</v>
      </c>
      <c r="K27" s="27">
        <f>(H29+H24)/2</f>
        <v>164.72500000000002</v>
      </c>
      <c r="L27" s="27">
        <f>(H31+H22)/2</f>
        <v>192.6</v>
      </c>
      <c r="M27" s="27">
        <f>(H33+H21)/2</f>
        <v>214.07499999999999</v>
      </c>
      <c r="N27" s="27">
        <f>(H35+H19)/2</f>
        <v>258.45</v>
      </c>
      <c r="O27" s="27">
        <f>(H32+H20)/2</f>
        <v>84.474999999999994</v>
      </c>
      <c r="P27" s="38">
        <f>(H34+H18)/2</f>
        <v>64.150000000000006</v>
      </c>
      <c r="Q27" s="12">
        <f>(H27/4)</f>
        <v>41.45</v>
      </c>
      <c r="R27" s="12">
        <f t="shared" si="0"/>
        <v>149.22</v>
      </c>
      <c r="S27" s="12">
        <f t="shared" si="1"/>
        <v>16.580000000000013</v>
      </c>
      <c r="T27" s="12">
        <f t="shared" si="2"/>
        <v>164.14200000000002</v>
      </c>
      <c r="U27" s="12">
        <f t="shared" si="3"/>
        <v>1.657999999999987</v>
      </c>
      <c r="V27" s="41">
        <v>26</v>
      </c>
      <c r="Y27" s="104">
        <f t="shared" si="5"/>
        <v>24200</v>
      </c>
      <c r="Z27">
        <f>H27</f>
        <v>165.8</v>
      </c>
      <c r="AA27" s="12"/>
      <c r="AB27" s="12"/>
      <c r="AC27" s="111">
        <f t="shared" si="6"/>
        <v>103.375</v>
      </c>
      <c r="AD27" s="14">
        <f>(H25+H28)/2</f>
        <v>111.25</v>
      </c>
      <c r="AE27" s="13">
        <f t="shared" si="7"/>
        <v>142.85000000000002</v>
      </c>
      <c r="AF27" s="114">
        <f t="shared" si="17"/>
        <v>164.72500000000002</v>
      </c>
      <c r="AG27" s="115">
        <f t="shared" si="17"/>
        <v>192.6</v>
      </c>
      <c r="AH27" s="116">
        <f t="shared" si="17"/>
        <v>214.07499999999999</v>
      </c>
      <c r="AI27" s="117">
        <f t="shared" si="17"/>
        <v>258.45</v>
      </c>
      <c r="AM27" s="122"/>
      <c r="AN27" s="122"/>
      <c r="AO27" s="128"/>
      <c r="AP27" s="125"/>
      <c r="AQ27" s="123"/>
      <c r="AR27" s="126"/>
      <c r="AS27" s="126"/>
    </row>
    <row r="28" spans="1:45" ht="28.2" thickBot="1">
      <c r="A28" s="72" t="s">
        <v>0</v>
      </c>
      <c r="B28" s="73">
        <v>46238</v>
      </c>
      <c r="C28" s="72" t="s">
        <v>1</v>
      </c>
      <c r="D28" s="74">
        <v>24250</v>
      </c>
      <c r="E28" s="72">
        <v>92.5</v>
      </c>
      <c r="F28" s="72">
        <v>127.95</v>
      </c>
      <c r="G28" s="72">
        <v>92.5</v>
      </c>
      <c r="H28" s="72">
        <v>92.5</v>
      </c>
      <c r="I28" s="35">
        <f>(H28+H29)/2</f>
        <v>135.94999999999999</v>
      </c>
      <c r="J28" s="35">
        <f>(H32+H25)/2</f>
        <v>101.97499999999999</v>
      </c>
      <c r="K28" s="27">
        <f>(H31+H26)/2</f>
        <v>169.95</v>
      </c>
      <c r="L28" s="27">
        <f>(H33+H24)/2</f>
        <v>188.52500000000001</v>
      </c>
      <c r="M28" s="27">
        <f>(H35+H22)/2</f>
        <v>220.54999999999998</v>
      </c>
      <c r="N28" s="27">
        <f>(H37+H21)/2</f>
        <v>260.52499999999998</v>
      </c>
      <c r="O28" s="27">
        <f>(H34+H23)/2</f>
        <v>83.474999999999994</v>
      </c>
      <c r="P28" s="38">
        <f>(H36+H20)/2</f>
        <v>69.375</v>
      </c>
      <c r="Q28" s="12">
        <f>(H28)/4</f>
        <v>23.125</v>
      </c>
      <c r="R28" s="12">
        <f t="shared" si="0"/>
        <v>83.25</v>
      </c>
      <c r="S28" s="12">
        <f t="shared" si="1"/>
        <v>9.25</v>
      </c>
      <c r="T28" s="12">
        <f t="shared" si="2"/>
        <v>91.575000000000003</v>
      </c>
      <c r="U28" s="12">
        <f t="shared" si="3"/>
        <v>0.92499999999999716</v>
      </c>
      <c r="V28" s="41">
        <v>27</v>
      </c>
      <c r="X28">
        <f>H28</f>
        <v>92.5</v>
      </c>
      <c r="Y28" s="104">
        <f t="shared" si="5"/>
        <v>24250</v>
      </c>
      <c r="AA28" s="12"/>
      <c r="AB28" s="12"/>
      <c r="AC28" s="111">
        <f t="shared" si="6"/>
        <v>101.97499999999999</v>
      </c>
      <c r="AD28" s="14">
        <f>(H27+H30)/2</f>
        <v>127.27500000000001</v>
      </c>
      <c r="AE28" s="13">
        <f t="shared" si="7"/>
        <v>135.94999999999999</v>
      </c>
      <c r="AF28" s="114">
        <f t="shared" si="17"/>
        <v>169.95</v>
      </c>
      <c r="AG28" s="115">
        <f t="shared" si="17"/>
        <v>188.52500000000001</v>
      </c>
      <c r="AH28" s="116">
        <f t="shared" si="17"/>
        <v>220.54999999999998</v>
      </c>
      <c r="AI28" s="117">
        <f t="shared" si="17"/>
        <v>260.52499999999998</v>
      </c>
      <c r="AM28" s="122"/>
      <c r="AN28" s="122"/>
      <c r="AO28" s="128"/>
      <c r="AP28" s="125"/>
      <c r="AQ28" s="123"/>
      <c r="AR28" s="126"/>
      <c r="AS28" s="126"/>
    </row>
    <row r="29" spans="1:45" ht="28.2" thickBot="1">
      <c r="A29" s="72" t="s">
        <v>0</v>
      </c>
      <c r="B29" s="73">
        <v>46238</v>
      </c>
      <c r="C29" s="72" t="s">
        <v>20</v>
      </c>
      <c r="D29" s="74">
        <v>24250</v>
      </c>
      <c r="E29" s="72">
        <v>179.4</v>
      </c>
      <c r="F29" s="72">
        <v>189.6</v>
      </c>
      <c r="G29" s="72">
        <v>152.05000000000001</v>
      </c>
      <c r="H29" s="72">
        <v>179.4</v>
      </c>
      <c r="I29" s="35">
        <f>(H28+H29)/2</f>
        <v>135.94999999999999</v>
      </c>
      <c r="J29" s="35">
        <f>(H32+H25)/2</f>
        <v>101.97499999999999</v>
      </c>
      <c r="K29" s="27">
        <f>(H31+H26)/2</f>
        <v>169.95</v>
      </c>
      <c r="L29" s="27">
        <f>(H33+H24)/2</f>
        <v>188.52500000000001</v>
      </c>
      <c r="M29" s="27">
        <f>(H35+H22)/2</f>
        <v>220.54999999999998</v>
      </c>
      <c r="N29" s="27">
        <f>(H37+H21)/2</f>
        <v>260.52499999999998</v>
      </c>
      <c r="O29" s="27">
        <f>(H34+H23)/2</f>
        <v>83.474999999999994</v>
      </c>
      <c r="P29" s="38">
        <f>(H36+H20)/2</f>
        <v>69.375</v>
      </c>
      <c r="Q29" s="12">
        <f>(H29/4)</f>
        <v>44.85</v>
      </c>
      <c r="R29" s="12">
        <f t="shared" si="0"/>
        <v>161.46</v>
      </c>
      <c r="S29" s="12">
        <f t="shared" si="1"/>
        <v>17.939999999999998</v>
      </c>
      <c r="T29" s="12">
        <f t="shared" si="2"/>
        <v>177.60599999999999</v>
      </c>
      <c r="U29" s="12">
        <f t="shared" si="3"/>
        <v>1.7940000000000111</v>
      </c>
      <c r="V29" s="41">
        <v>28</v>
      </c>
      <c r="Y29" s="104">
        <f t="shared" si="5"/>
        <v>24250</v>
      </c>
      <c r="Z29">
        <f>H29</f>
        <v>179.4</v>
      </c>
      <c r="AA29" s="12"/>
      <c r="AB29" s="12"/>
      <c r="AC29" s="111">
        <f t="shared" si="6"/>
        <v>101.97499999999999</v>
      </c>
      <c r="AD29" s="14">
        <f>(H27+H30)/2</f>
        <v>127.27500000000001</v>
      </c>
      <c r="AE29" s="13">
        <f t="shared" si="7"/>
        <v>135.94999999999999</v>
      </c>
      <c r="AF29" s="114">
        <f t="shared" si="17"/>
        <v>169.95</v>
      </c>
      <c r="AG29" s="115">
        <f t="shared" si="17"/>
        <v>188.52500000000001</v>
      </c>
      <c r="AH29" s="116">
        <f t="shared" si="17"/>
        <v>220.54999999999998</v>
      </c>
      <c r="AI29" s="117">
        <f t="shared" si="17"/>
        <v>260.52499999999998</v>
      </c>
      <c r="AM29" s="122"/>
      <c r="AN29" s="122"/>
      <c r="AO29" s="128"/>
      <c r="AP29" s="125"/>
      <c r="AQ29" s="123"/>
      <c r="AR29" s="126"/>
      <c r="AS29" s="126"/>
    </row>
    <row r="30" spans="1:45" ht="28.2" thickBot="1">
      <c r="A30" s="72" t="s">
        <v>0</v>
      </c>
      <c r="B30" s="73">
        <v>46238</v>
      </c>
      <c r="C30" s="72" t="s">
        <v>1</v>
      </c>
      <c r="D30" s="74">
        <v>24300</v>
      </c>
      <c r="E30" s="72">
        <v>88.75</v>
      </c>
      <c r="F30" s="72">
        <v>103.9</v>
      </c>
      <c r="G30" s="72">
        <v>75.099999999999994</v>
      </c>
      <c r="H30" s="72">
        <v>88.75</v>
      </c>
      <c r="I30" s="35">
        <f>(H30+H31)/2</f>
        <v>154.375</v>
      </c>
      <c r="J30" s="35">
        <f>(H34+H27)/2</f>
        <v>107.375</v>
      </c>
      <c r="K30" s="27">
        <f>(H33+H28)/2</f>
        <v>159.75</v>
      </c>
      <c r="L30" s="27">
        <f>(H35+H26)/2</f>
        <v>197.89999999999998</v>
      </c>
      <c r="M30" s="27">
        <f>(H37+H24)/2</f>
        <v>234.97499999999999</v>
      </c>
      <c r="N30" s="27"/>
      <c r="O30" s="27">
        <f>(H36+H25)/2</f>
        <v>86.875</v>
      </c>
      <c r="P30" s="38"/>
      <c r="Q30" s="12">
        <f>(H30)/4</f>
        <v>22.1875</v>
      </c>
      <c r="R30" s="12">
        <f t="shared" si="0"/>
        <v>79.875</v>
      </c>
      <c r="S30" s="12">
        <f t="shared" si="1"/>
        <v>8.875</v>
      </c>
      <c r="T30" s="12">
        <f t="shared" si="2"/>
        <v>87.862499999999997</v>
      </c>
      <c r="U30" s="12">
        <f t="shared" si="3"/>
        <v>0.88750000000000284</v>
      </c>
      <c r="V30" s="41">
        <v>29</v>
      </c>
      <c r="X30">
        <f>H30</f>
        <v>88.75</v>
      </c>
      <c r="Y30" s="104">
        <f t="shared" si="5"/>
        <v>24300</v>
      </c>
      <c r="AA30" s="12"/>
      <c r="AB30" s="12"/>
      <c r="AC30" s="111">
        <f t="shared" si="6"/>
        <v>107.375</v>
      </c>
      <c r="AD30" s="14">
        <f>(H29+H32)/2</f>
        <v>126.67500000000001</v>
      </c>
      <c r="AE30" s="13">
        <f t="shared" si="7"/>
        <v>154.375</v>
      </c>
      <c r="AF30" s="114">
        <f t="shared" si="17"/>
        <v>159.75</v>
      </c>
      <c r="AG30" s="115">
        <f t="shared" si="17"/>
        <v>197.89999999999998</v>
      </c>
      <c r="AH30" s="116">
        <f t="shared" si="17"/>
        <v>234.97499999999999</v>
      </c>
      <c r="AI30" s="117">
        <f t="shared" si="17"/>
        <v>0</v>
      </c>
      <c r="AM30" s="122"/>
      <c r="AN30" s="122"/>
      <c r="AO30" s="128"/>
      <c r="AP30" s="125"/>
      <c r="AQ30" s="123"/>
      <c r="AR30" s="126"/>
      <c r="AS30" s="126"/>
    </row>
    <row r="31" spans="1:45" ht="28.2" thickBot="1">
      <c r="A31" s="72" t="s">
        <v>0</v>
      </c>
      <c r="B31" s="73">
        <v>46238</v>
      </c>
      <c r="C31" s="72" t="s">
        <v>20</v>
      </c>
      <c r="D31" s="74">
        <v>24300</v>
      </c>
      <c r="E31" s="72">
        <v>220</v>
      </c>
      <c r="F31" s="72">
        <v>221.35</v>
      </c>
      <c r="G31" s="72">
        <v>178.3</v>
      </c>
      <c r="H31" s="72">
        <v>220</v>
      </c>
      <c r="I31" s="35">
        <f>(H30+H31)/2</f>
        <v>154.375</v>
      </c>
      <c r="J31" s="36">
        <f>(H34+H27)/2</f>
        <v>107.375</v>
      </c>
      <c r="K31" s="29">
        <f>(H33+H28)/2</f>
        <v>159.75</v>
      </c>
      <c r="L31" s="29">
        <f>(H35+H26)/2</f>
        <v>197.89999999999998</v>
      </c>
      <c r="M31" s="29">
        <f>(H37+H24)/2</f>
        <v>234.97499999999999</v>
      </c>
      <c r="N31" s="29"/>
      <c r="O31" s="29">
        <f>(H36+H25)/2</f>
        <v>86.875</v>
      </c>
      <c r="P31" s="39"/>
      <c r="Q31" s="12">
        <f>(H31/4)</f>
        <v>55</v>
      </c>
      <c r="R31" s="12">
        <f t="shared" si="0"/>
        <v>198.00000000000003</v>
      </c>
      <c r="S31" s="12">
        <f t="shared" si="1"/>
        <v>21.999999999999972</v>
      </c>
      <c r="T31" s="12">
        <f t="shared" si="2"/>
        <v>217.8</v>
      </c>
      <c r="U31" s="12">
        <f t="shared" si="3"/>
        <v>2.1999999999999886</v>
      </c>
      <c r="V31" s="41">
        <v>30</v>
      </c>
      <c r="Y31" s="104">
        <f t="shared" si="5"/>
        <v>24300</v>
      </c>
      <c r="Z31">
        <f>H31</f>
        <v>220</v>
      </c>
      <c r="AA31" s="12"/>
      <c r="AB31" s="12"/>
      <c r="AC31" s="111">
        <f t="shared" si="6"/>
        <v>107.375</v>
      </c>
      <c r="AD31" s="14">
        <f>(H29+H32)/2</f>
        <v>126.67500000000001</v>
      </c>
      <c r="AE31" s="13">
        <f t="shared" si="7"/>
        <v>154.375</v>
      </c>
      <c r="AF31" s="114">
        <f t="shared" si="17"/>
        <v>159.75</v>
      </c>
      <c r="AG31" s="115">
        <f t="shared" si="17"/>
        <v>197.89999999999998</v>
      </c>
      <c r="AH31" s="116">
        <f t="shared" si="17"/>
        <v>234.97499999999999</v>
      </c>
      <c r="AI31" s="117">
        <f t="shared" si="17"/>
        <v>0</v>
      </c>
      <c r="AM31" s="122"/>
      <c r="AN31" s="122"/>
      <c r="AO31" s="128"/>
      <c r="AP31" s="125"/>
      <c r="AQ31" s="123"/>
      <c r="AR31" s="126"/>
      <c r="AS31" s="126"/>
    </row>
    <row r="32" spans="1:45" ht="28.2" thickBot="1">
      <c r="A32" s="72" t="s">
        <v>0</v>
      </c>
      <c r="B32" s="73">
        <v>46238</v>
      </c>
      <c r="C32" s="72" t="s">
        <v>1</v>
      </c>
      <c r="D32" s="74">
        <v>24350</v>
      </c>
      <c r="E32" s="72">
        <v>73.95</v>
      </c>
      <c r="F32" s="72">
        <v>94.95</v>
      </c>
      <c r="G32" s="72">
        <v>59</v>
      </c>
      <c r="H32" s="72">
        <v>73.95</v>
      </c>
      <c r="I32" s="43">
        <f>(H32+H33)/2</f>
        <v>150.47499999999999</v>
      </c>
      <c r="Q32" s="12">
        <f>(H32)/4</f>
        <v>18.487500000000001</v>
      </c>
      <c r="R32" s="12">
        <f t="shared" si="0"/>
        <v>66.555000000000007</v>
      </c>
      <c r="S32" s="12">
        <f t="shared" si="1"/>
        <v>7.394999999999996</v>
      </c>
      <c r="T32" s="12">
        <f t="shared" si="2"/>
        <v>73.21050000000001</v>
      </c>
      <c r="U32" s="12">
        <f t="shared" si="3"/>
        <v>0.7394999999999925</v>
      </c>
      <c r="V32" s="41">
        <v>31</v>
      </c>
      <c r="AM32" s="122"/>
      <c r="AN32" s="122"/>
      <c r="AO32" s="128"/>
      <c r="AP32" s="125"/>
      <c r="AQ32" s="123"/>
      <c r="AR32" s="126"/>
      <c r="AS32" s="126"/>
    </row>
    <row r="33" spans="1:45" ht="21" customHeight="1" thickBot="1">
      <c r="A33" s="72" t="s">
        <v>0</v>
      </c>
      <c r="B33" s="73">
        <v>46238</v>
      </c>
      <c r="C33" s="72" t="s">
        <v>20</v>
      </c>
      <c r="D33" s="74">
        <v>24350</v>
      </c>
      <c r="E33" s="72">
        <v>227</v>
      </c>
      <c r="F33" s="72">
        <v>253.35</v>
      </c>
      <c r="G33" s="72">
        <v>207.15</v>
      </c>
      <c r="H33" s="72">
        <v>227</v>
      </c>
      <c r="I33" s="43">
        <f>(H32+H33)/2</f>
        <v>150.47499999999999</v>
      </c>
      <c r="Q33" s="12">
        <f>(H33/4)</f>
        <v>56.75</v>
      </c>
      <c r="R33" s="12">
        <f t="shared" si="0"/>
        <v>204.3</v>
      </c>
      <c r="S33" s="12">
        <f t="shared" si="1"/>
        <v>22.699999999999989</v>
      </c>
      <c r="T33" s="12">
        <f t="shared" si="2"/>
        <v>224.73</v>
      </c>
      <c r="U33" s="12">
        <f t="shared" si="3"/>
        <v>2.2700000000000102</v>
      </c>
      <c r="V33" s="41">
        <v>32</v>
      </c>
      <c r="AM33" s="122"/>
      <c r="AN33" s="122"/>
      <c r="AO33" s="128"/>
      <c r="AP33" s="125"/>
      <c r="AQ33" s="123"/>
      <c r="AR33" s="126"/>
      <c r="AS33" s="126"/>
    </row>
    <row r="34" spans="1:45" ht="21" customHeight="1" thickBot="1">
      <c r="A34" s="72" t="s">
        <v>0</v>
      </c>
      <c r="B34" s="73">
        <v>46238</v>
      </c>
      <c r="C34" s="72" t="s">
        <v>1</v>
      </c>
      <c r="D34" s="74">
        <v>24400</v>
      </c>
      <c r="E34" s="72">
        <v>48.95</v>
      </c>
      <c r="F34" s="72">
        <v>64.95</v>
      </c>
      <c r="G34" s="72">
        <v>45.7</v>
      </c>
      <c r="H34" s="72">
        <v>48.95</v>
      </c>
      <c r="I34" s="43">
        <f>(H34+H35)/2</f>
        <v>162.42499999999998</v>
      </c>
      <c r="Q34" s="12">
        <f>(H34)/4</f>
        <v>12.237500000000001</v>
      </c>
      <c r="R34" s="12">
        <f t="shared" si="0"/>
        <v>44.055000000000007</v>
      </c>
      <c r="S34" s="12">
        <f t="shared" si="1"/>
        <v>4.894999999999996</v>
      </c>
      <c r="T34" s="12">
        <f t="shared" si="2"/>
        <v>48.460500000000003</v>
      </c>
      <c r="U34" s="12">
        <f t="shared" si="3"/>
        <v>0.4894999999999996</v>
      </c>
      <c r="V34" s="41">
        <v>33</v>
      </c>
      <c r="AM34" s="122"/>
      <c r="AN34" s="122"/>
      <c r="AO34" s="128"/>
      <c r="AP34" s="125"/>
      <c r="AQ34" s="123"/>
      <c r="AR34" s="126"/>
      <c r="AS34" s="126"/>
    </row>
    <row r="35" spans="1:45" ht="21" customHeight="1" thickBot="1">
      <c r="A35" s="72" t="s">
        <v>0</v>
      </c>
      <c r="B35" s="73">
        <v>46238</v>
      </c>
      <c r="C35" s="72" t="s">
        <v>20</v>
      </c>
      <c r="D35" s="74">
        <v>24400</v>
      </c>
      <c r="E35" s="72">
        <v>275.89999999999998</v>
      </c>
      <c r="F35" s="72">
        <v>290.25</v>
      </c>
      <c r="G35" s="72">
        <v>240</v>
      </c>
      <c r="H35" s="72">
        <v>275.89999999999998</v>
      </c>
      <c r="I35" s="43">
        <f>(H34+H35)/2</f>
        <v>162.42499999999998</v>
      </c>
      <c r="Q35" s="12">
        <f>(H35/4)</f>
        <v>68.974999999999994</v>
      </c>
      <c r="R35" s="12">
        <f t="shared" si="0"/>
        <v>248.31</v>
      </c>
      <c r="S35" s="12">
        <f t="shared" si="1"/>
        <v>27.589999999999975</v>
      </c>
      <c r="T35" s="12">
        <f t="shared" si="2"/>
        <v>273.14099999999996</v>
      </c>
      <c r="U35" s="12">
        <f t="shared" si="3"/>
        <v>2.7590000000000146</v>
      </c>
      <c r="V35" s="41">
        <v>34</v>
      </c>
      <c r="AM35" s="122"/>
      <c r="AN35" s="122"/>
      <c r="AO35" s="128"/>
      <c r="AP35" s="125"/>
      <c r="AQ35" s="123"/>
      <c r="AR35" s="126"/>
      <c r="AS35" s="126"/>
    </row>
    <row r="36" spans="1:45" ht="21" customHeight="1" thickBot="1">
      <c r="A36" s="72" t="s">
        <v>0</v>
      </c>
      <c r="B36" s="73">
        <v>46238</v>
      </c>
      <c r="C36" s="72" t="s">
        <v>1</v>
      </c>
      <c r="D36" s="74">
        <v>24450</v>
      </c>
      <c r="E36" s="72">
        <v>43.75</v>
      </c>
      <c r="F36" s="72">
        <v>50.2</v>
      </c>
      <c r="G36" s="72">
        <v>35.049999999999997</v>
      </c>
      <c r="H36" s="72">
        <v>43.75</v>
      </c>
      <c r="I36" s="43">
        <f>(H36+H37)/2</f>
        <v>181.82499999999999</v>
      </c>
      <c r="Q36" s="12">
        <f>(H36)/4</f>
        <v>10.9375</v>
      </c>
      <c r="R36" s="12">
        <f t="shared" si="0"/>
        <v>39.375</v>
      </c>
      <c r="S36" s="12">
        <f t="shared" si="1"/>
        <v>4.375</v>
      </c>
      <c r="T36" s="12">
        <f t="shared" si="2"/>
        <v>43.3125</v>
      </c>
      <c r="U36" s="12">
        <f t="shared" si="3"/>
        <v>0.4375</v>
      </c>
      <c r="V36" s="41">
        <v>35</v>
      </c>
      <c r="AM36" s="122"/>
      <c r="AN36" s="122"/>
      <c r="AO36" s="128"/>
      <c r="AP36" s="125"/>
      <c r="AQ36" s="123"/>
      <c r="AR36" s="126"/>
      <c r="AS36" s="126"/>
    </row>
    <row r="37" spans="1:45" ht="21" customHeight="1" thickBot="1">
      <c r="A37" s="72" t="s">
        <v>0</v>
      </c>
      <c r="B37" s="73">
        <v>46238</v>
      </c>
      <c r="C37" s="72" t="s">
        <v>20</v>
      </c>
      <c r="D37" s="74">
        <v>24450</v>
      </c>
      <c r="E37" s="72">
        <v>319.89999999999998</v>
      </c>
      <c r="F37" s="72">
        <v>331.95</v>
      </c>
      <c r="G37" s="72">
        <v>275</v>
      </c>
      <c r="H37" s="72">
        <v>319.89999999999998</v>
      </c>
      <c r="I37" s="43">
        <f>(H36+H37)/2</f>
        <v>181.82499999999999</v>
      </c>
      <c r="Q37" s="12">
        <f>(H37/4)</f>
        <v>79.974999999999994</v>
      </c>
      <c r="R37" s="12">
        <f t="shared" si="0"/>
        <v>287.90999999999997</v>
      </c>
      <c r="S37" s="12">
        <f t="shared" si="1"/>
        <v>31.990000000000009</v>
      </c>
      <c r="T37" s="12">
        <f t="shared" si="2"/>
        <v>316.70099999999996</v>
      </c>
      <c r="U37" s="12">
        <f t="shared" si="3"/>
        <v>3.1990000000000123</v>
      </c>
      <c r="V37" s="41">
        <v>36</v>
      </c>
    </row>
  </sheetData>
  <autoFilter ref="C1:P1" xr:uid="{00000000-0009-0000-0000-000003000000}">
    <sortState xmlns:xlrd2="http://schemas.microsoft.com/office/spreadsheetml/2017/richdata2" ref="C2:P143">
      <sortCondition ref="F1"/>
    </sortState>
  </autoFilter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AS37"/>
  <sheetViews>
    <sheetView tabSelected="1" topLeftCell="L1" zoomScale="70" zoomScaleNormal="70" workbookViewId="0">
      <pane ySplit="1" topLeftCell="A11" activePane="bottomLeft" state="frozen"/>
      <selection pane="bottomLeft" activeCell="AA37" sqref="AA37"/>
    </sheetView>
  </sheetViews>
  <sheetFormatPr defaultRowHeight="14.4"/>
  <cols>
    <col min="1" max="1" width="10.6640625" customWidth="1"/>
    <col min="2" max="2" width="12.44140625" customWidth="1"/>
    <col min="3" max="3" width="10.6640625" customWidth="1"/>
    <col min="4" max="4" width="12.44140625" style="28" customWidth="1"/>
    <col min="5" max="8" width="10.6640625" style="28" customWidth="1"/>
    <col min="9" max="10" width="10.6640625" customWidth="1"/>
    <col min="11" max="11" width="13.109375" customWidth="1"/>
    <col min="12" max="12" width="12.6640625" customWidth="1"/>
    <col min="13" max="19" width="10.6640625" customWidth="1"/>
    <col min="20" max="20" width="14.6640625" customWidth="1"/>
    <col min="21" max="21" width="10.6640625" customWidth="1"/>
    <col min="23" max="23" width="9.109375" style="103"/>
    <col min="25" max="25" width="17.109375" customWidth="1"/>
    <col min="31" max="31" width="10.6640625" customWidth="1"/>
    <col min="39" max="39" width="13.5546875" customWidth="1"/>
    <col min="40" max="44" width="13.6640625" customWidth="1"/>
    <col min="45" max="45" width="14" customWidth="1"/>
  </cols>
  <sheetData>
    <row r="1" spans="1:45" ht="43.2" customHeight="1">
      <c r="A1" s="44" t="s">
        <v>2</v>
      </c>
      <c r="B1" s="44" t="s">
        <v>4</v>
      </c>
      <c r="C1" s="44" t="s">
        <v>6</v>
      </c>
      <c r="D1" s="45" t="s">
        <v>7</v>
      </c>
      <c r="E1" s="45" t="s">
        <v>8</v>
      </c>
      <c r="F1" s="46" t="s">
        <v>9</v>
      </c>
      <c r="G1" s="47" t="s">
        <v>10</v>
      </c>
      <c r="H1" s="48" t="s">
        <v>11</v>
      </c>
      <c r="I1" s="22" t="s">
        <v>28</v>
      </c>
      <c r="J1" s="24" t="s">
        <v>21</v>
      </c>
      <c r="K1" s="25" t="s">
        <v>22</v>
      </c>
      <c r="L1" s="25" t="s">
        <v>23</v>
      </c>
      <c r="M1" s="25" t="s">
        <v>24</v>
      </c>
      <c r="N1" s="25" t="s">
        <v>25</v>
      </c>
      <c r="O1" s="23" t="s">
        <v>26</v>
      </c>
      <c r="P1" s="23" t="s">
        <v>27</v>
      </c>
      <c r="Q1" s="40" t="s">
        <v>33</v>
      </c>
      <c r="R1" s="40" t="s">
        <v>29</v>
      </c>
      <c r="S1" s="40" t="s">
        <v>30</v>
      </c>
      <c r="T1" s="40" t="s">
        <v>31</v>
      </c>
      <c r="U1" s="40" t="s">
        <v>32</v>
      </c>
      <c r="AA1" s="108" t="s">
        <v>42</v>
      </c>
      <c r="AB1" s="108" t="s">
        <v>41</v>
      </c>
      <c r="AC1" s="85" t="s">
        <v>40</v>
      </c>
      <c r="AD1" s="85" t="s">
        <v>39</v>
      </c>
      <c r="AE1" s="107" t="s">
        <v>36</v>
      </c>
      <c r="AF1" s="107" t="s">
        <v>43</v>
      </c>
      <c r="AG1" s="107" t="s">
        <v>44</v>
      </c>
      <c r="AH1" s="107" t="s">
        <v>45</v>
      </c>
      <c r="AI1" s="107" t="s">
        <v>46</v>
      </c>
      <c r="AM1" s="122" t="s">
        <v>50</v>
      </c>
      <c r="AN1" s="122" t="s">
        <v>49</v>
      </c>
      <c r="AO1" s="122" t="s">
        <v>48</v>
      </c>
      <c r="AP1" s="121" t="s">
        <v>51</v>
      </c>
      <c r="AQ1" s="123" t="s">
        <v>39</v>
      </c>
      <c r="AR1" s="123" t="s">
        <v>40</v>
      </c>
      <c r="AS1" s="123" t="s">
        <v>40</v>
      </c>
    </row>
    <row r="2" spans="1:45" ht="28.2" thickBot="1">
      <c r="A2" s="72" t="s">
        <v>0</v>
      </c>
      <c r="B2" s="73">
        <v>46189</v>
      </c>
      <c r="C2" s="72" t="s">
        <v>20</v>
      </c>
      <c r="D2" s="74">
        <v>22950</v>
      </c>
      <c r="E2" s="72">
        <v>28.05</v>
      </c>
      <c r="F2" s="72">
        <v>30</v>
      </c>
      <c r="G2" s="72">
        <v>8.8000000000000007</v>
      </c>
      <c r="H2" s="72">
        <v>11.1</v>
      </c>
      <c r="I2" s="43">
        <f>(H2+H3)/2</f>
        <v>362.7</v>
      </c>
      <c r="Q2" s="12">
        <f>(H2/4)</f>
        <v>2.7749999999999999</v>
      </c>
      <c r="R2" s="12"/>
      <c r="S2" s="12"/>
      <c r="T2" s="12"/>
      <c r="U2" s="12"/>
      <c r="V2" s="41">
        <v>1</v>
      </c>
      <c r="AM2" s="122"/>
      <c r="AN2" s="122"/>
      <c r="AO2" s="124"/>
      <c r="AP2" s="125"/>
      <c r="AQ2" s="123"/>
      <c r="AR2" s="126"/>
      <c r="AS2" s="126"/>
    </row>
    <row r="3" spans="1:45" ht="28.2" thickBot="1">
      <c r="A3" s="72" t="s">
        <v>0</v>
      </c>
      <c r="B3" s="73">
        <v>46189</v>
      </c>
      <c r="C3" s="72" t="s">
        <v>1</v>
      </c>
      <c r="D3" s="74">
        <v>22950</v>
      </c>
      <c r="E3" s="72">
        <v>476.1</v>
      </c>
      <c r="F3" s="72">
        <v>747.75</v>
      </c>
      <c r="G3" s="72">
        <v>386.45</v>
      </c>
      <c r="H3" s="72">
        <v>714.3</v>
      </c>
      <c r="I3" s="43">
        <f>(H2+H3)/2</f>
        <v>362.7</v>
      </c>
      <c r="Q3" s="12">
        <f>(H3)/4</f>
        <v>178.57499999999999</v>
      </c>
      <c r="R3" s="12">
        <f>((H3/100)*90)</f>
        <v>642.87</v>
      </c>
      <c r="S3" s="12">
        <f>(H3-R3)</f>
        <v>71.42999999999995</v>
      </c>
      <c r="T3" s="12">
        <f>((H3/100)*99)</f>
        <v>707.15699999999993</v>
      </c>
      <c r="U3" s="12">
        <f>(H3-T3)</f>
        <v>7.1430000000000291</v>
      </c>
      <c r="V3" s="41">
        <v>2</v>
      </c>
      <c r="AM3" s="122"/>
      <c r="AN3" s="122"/>
      <c r="AO3" s="124"/>
      <c r="AP3" s="125"/>
      <c r="AQ3" s="123"/>
      <c r="AR3" s="126"/>
      <c r="AS3" s="126"/>
    </row>
    <row r="4" spans="1:45" ht="28.2" thickBot="1">
      <c r="A4" s="72" t="s">
        <v>0</v>
      </c>
      <c r="B4" s="73">
        <v>46189</v>
      </c>
      <c r="C4" s="72" t="s">
        <v>20</v>
      </c>
      <c r="D4" s="74">
        <v>23000</v>
      </c>
      <c r="E4" s="72">
        <v>26</v>
      </c>
      <c r="F4" s="72">
        <v>37.299999999999997</v>
      </c>
      <c r="G4" s="72">
        <v>10.199999999999999</v>
      </c>
      <c r="H4" s="72">
        <v>12.65</v>
      </c>
      <c r="I4" s="43">
        <f>(H4+H5)/2</f>
        <v>336.34999999999997</v>
      </c>
      <c r="Q4" s="12">
        <f>(H4/4)</f>
        <v>3.1625000000000001</v>
      </c>
      <c r="R4" s="12">
        <f t="shared" ref="R4:R37" si="0">((H4/100)*90)</f>
        <v>11.385</v>
      </c>
      <c r="S4" s="12">
        <f t="shared" ref="S4:S37" si="1">(H4-R4)</f>
        <v>1.2650000000000006</v>
      </c>
      <c r="T4" s="12">
        <f t="shared" ref="T4:T37" si="2">((H4/100)*99)</f>
        <v>12.5235</v>
      </c>
      <c r="U4" s="12">
        <f t="shared" ref="U4:U37" si="3">(H4-T4)</f>
        <v>0.12650000000000006</v>
      </c>
      <c r="V4" s="41">
        <v>3</v>
      </c>
      <c r="AM4" s="122"/>
      <c r="AN4" s="122"/>
      <c r="AO4" s="124"/>
      <c r="AP4" s="125"/>
      <c r="AQ4" s="123"/>
      <c r="AR4" s="126"/>
      <c r="AS4" s="126"/>
    </row>
    <row r="5" spans="1:45" ht="28.2" thickBot="1">
      <c r="A5" s="72" t="s">
        <v>0</v>
      </c>
      <c r="B5" s="73">
        <v>46189</v>
      </c>
      <c r="C5" s="72" t="s">
        <v>1</v>
      </c>
      <c r="D5" s="74">
        <v>23000</v>
      </c>
      <c r="E5" s="72">
        <v>411.05</v>
      </c>
      <c r="F5" s="72">
        <v>697.3</v>
      </c>
      <c r="G5" s="72">
        <v>343.1</v>
      </c>
      <c r="H5" s="72">
        <v>660.05</v>
      </c>
      <c r="I5" s="43">
        <f>(H4+H5)/2</f>
        <v>336.34999999999997</v>
      </c>
      <c r="Q5" s="12">
        <f>(H5)/4</f>
        <v>165.01249999999999</v>
      </c>
      <c r="R5" s="12">
        <f t="shared" si="0"/>
        <v>594.04499999999996</v>
      </c>
      <c r="S5" s="12">
        <f t="shared" si="1"/>
        <v>66.004999999999995</v>
      </c>
      <c r="T5" s="12">
        <f t="shared" si="2"/>
        <v>653.44949999999994</v>
      </c>
      <c r="U5" s="12">
        <f t="shared" si="3"/>
        <v>6.6005000000000109</v>
      </c>
      <c r="V5" s="41">
        <v>4</v>
      </c>
      <c r="AM5" s="122"/>
      <c r="AN5" s="122"/>
      <c r="AO5" s="124"/>
      <c r="AP5" s="125"/>
      <c r="AQ5" s="123"/>
      <c r="AR5" s="126"/>
      <c r="AS5" s="126"/>
    </row>
    <row r="6" spans="1:45" ht="28.2" thickBot="1">
      <c r="A6" s="72" t="s">
        <v>0</v>
      </c>
      <c r="B6" s="73">
        <v>46189</v>
      </c>
      <c r="C6" s="72" t="s">
        <v>20</v>
      </c>
      <c r="D6" s="74">
        <v>23050</v>
      </c>
      <c r="E6" s="72">
        <v>27.2</v>
      </c>
      <c r="F6" s="72">
        <v>46.25</v>
      </c>
      <c r="G6" s="72">
        <v>12.1</v>
      </c>
      <c r="H6" s="72">
        <v>14.7</v>
      </c>
      <c r="I6" s="43">
        <f>(H6+H7)/2</f>
        <v>314.5</v>
      </c>
      <c r="Q6" s="12">
        <f>(H6/4)</f>
        <v>3.6749999999999998</v>
      </c>
      <c r="R6" s="12">
        <f t="shared" si="0"/>
        <v>13.229999999999999</v>
      </c>
      <c r="S6" s="12">
        <f t="shared" si="1"/>
        <v>1.4700000000000006</v>
      </c>
      <c r="T6" s="12">
        <f t="shared" si="2"/>
        <v>14.552999999999999</v>
      </c>
      <c r="U6" s="12">
        <f t="shared" si="3"/>
        <v>0.14700000000000024</v>
      </c>
      <c r="V6" s="41">
        <v>5</v>
      </c>
      <c r="AM6" s="122"/>
      <c r="AN6" s="122"/>
      <c r="AO6" s="124"/>
      <c r="AP6" s="125"/>
      <c r="AQ6" s="123"/>
      <c r="AR6" s="126"/>
      <c r="AS6" s="126"/>
    </row>
    <row r="7" spans="1:45" ht="28.2" thickBot="1">
      <c r="A7" s="72" t="s">
        <v>0</v>
      </c>
      <c r="B7" s="73">
        <v>46189</v>
      </c>
      <c r="C7" s="72" t="s">
        <v>1</v>
      </c>
      <c r="D7" s="74">
        <v>23050</v>
      </c>
      <c r="E7" s="72">
        <v>385.95</v>
      </c>
      <c r="F7" s="72">
        <v>650.15</v>
      </c>
      <c r="G7" s="72">
        <v>303.45</v>
      </c>
      <c r="H7" s="72">
        <v>614.29999999999995</v>
      </c>
      <c r="I7" s="43">
        <f>(H6+H7)/2</f>
        <v>314.5</v>
      </c>
      <c r="Q7" s="12">
        <f>(H7)/4</f>
        <v>153.57499999999999</v>
      </c>
      <c r="R7" s="12">
        <f t="shared" si="0"/>
        <v>552.87</v>
      </c>
      <c r="S7" s="12">
        <f t="shared" si="1"/>
        <v>61.42999999999995</v>
      </c>
      <c r="T7" s="12">
        <f t="shared" si="2"/>
        <v>608.15699999999993</v>
      </c>
      <c r="U7" s="12">
        <f t="shared" si="3"/>
        <v>6.1430000000000291</v>
      </c>
      <c r="V7" s="41">
        <v>6</v>
      </c>
      <c r="X7" s="109" t="s">
        <v>1</v>
      </c>
      <c r="Y7" s="109" t="s">
        <v>37</v>
      </c>
      <c r="Z7" s="109" t="s">
        <v>38</v>
      </c>
      <c r="AM7" s="122"/>
      <c r="AN7" s="122"/>
      <c r="AO7" s="124"/>
      <c r="AP7" s="125"/>
      <c r="AQ7" s="123"/>
      <c r="AR7" s="126"/>
      <c r="AS7" s="126"/>
    </row>
    <row r="8" spans="1:45" ht="28.2" thickBot="1">
      <c r="A8" s="72" t="s">
        <v>0</v>
      </c>
      <c r="B8" s="73">
        <v>46189</v>
      </c>
      <c r="C8" s="72" t="s">
        <v>20</v>
      </c>
      <c r="D8" s="74">
        <v>23100</v>
      </c>
      <c r="E8" s="72">
        <v>50</v>
      </c>
      <c r="F8" s="72">
        <v>58</v>
      </c>
      <c r="G8" s="72">
        <v>14.2</v>
      </c>
      <c r="H8" s="72">
        <v>17.3</v>
      </c>
      <c r="I8" s="30">
        <f>(H8+H9)/2</f>
        <v>291.95</v>
      </c>
      <c r="J8" s="30">
        <f>(H13+H4)/2</f>
        <v>244.17499999999998</v>
      </c>
      <c r="K8" s="26">
        <f>(H10+H7)/2</f>
        <v>317.45</v>
      </c>
      <c r="L8" s="26">
        <f>(H12+H5)/2</f>
        <v>342.25</v>
      </c>
      <c r="M8" s="26">
        <f>(H14+H3)/2</f>
        <v>371.82499999999999</v>
      </c>
      <c r="N8" s="26"/>
      <c r="O8" s="26">
        <f>(H15+H2)/2</f>
        <v>220.45000000000002</v>
      </c>
      <c r="P8" s="37"/>
      <c r="Q8" s="12">
        <f>(H8/4)</f>
        <v>4.3250000000000002</v>
      </c>
      <c r="R8" s="12">
        <f t="shared" si="0"/>
        <v>15.570000000000002</v>
      </c>
      <c r="S8" s="12">
        <f t="shared" si="1"/>
        <v>1.7299999999999986</v>
      </c>
      <c r="T8" s="12">
        <f t="shared" si="2"/>
        <v>17.127000000000002</v>
      </c>
      <c r="U8" s="12">
        <f t="shared" si="3"/>
        <v>0.17299999999999827</v>
      </c>
      <c r="V8" s="41">
        <v>7</v>
      </c>
      <c r="Y8" s="113">
        <f>D8</f>
        <v>23100</v>
      </c>
      <c r="Z8">
        <f>H8</f>
        <v>17.3</v>
      </c>
      <c r="AA8" s="12"/>
      <c r="AB8" s="12"/>
      <c r="AC8" s="111">
        <f>J8</f>
        <v>244.17499999999998</v>
      </c>
      <c r="AD8" s="14">
        <f>(H6+H11)/2</f>
        <v>267.02500000000003</v>
      </c>
      <c r="AE8" s="13">
        <f>I8</f>
        <v>291.95</v>
      </c>
      <c r="AF8" s="114">
        <f t="shared" ref="AF8:AI23" si="4">K8</f>
        <v>317.45</v>
      </c>
      <c r="AG8" s="115">
        <f t="shared" si="4"/>
        <v>342.25</v>
      </c>
      <c r="AH8" s="116">
        <f t="shared" si="4"/>
        <v>371.82499999999999</v>
      </c>
      <c r="AI8" s="117">
        <f t="shared" si="4"/>
        <v>0</v>
      </c>
      <c r="AM8" s="122"/>
      <c r="AN8" s="122"/>
      <c r="AO8" s="127"/>
      <c r="AP8" s="125"/>
      <c r="AQ8" s="123"/>
      <c r="AR8" s="126"/>
      <c r="AS8" s="126"/>
    </row>
    <row r="9" spans="1:45" ht="28.2" thickBot="1">
      <c r="A9" s="72" t="s">
        <v>0</v>
      </c>
      <c r="B9" s="73">
        <v>46189</v>
      </c>
      <c r="C9" s="72" t="s">
        <v>1</v>
      </c>
      <c r="D9" s="74">
        <v>23100</v>
      </c>
      <c r="E9" s="72">
        <v>320</v>
      </c>
      <c r="F9" s="72">
        <v>605.75</v>
      </c>
      <c r="G9" s="72">
        <v>265.5</v>
      </c>
      <c r="H9" s="72">
        <v>566.6</v>
      </c>
      <c r="I9" s="30">
        <f>(H8+H9)/2</f>
        <v>291.95</v>
      </c>
      <c r="J9" s="30">
        <f>(H13+H4)/2</f>
        <v>244.17499999999998</v>
      </c>
      <c r="K9" s="26">
        <f>(H10+H7)/2</f>
        <v>317.45</v>
      </c>
      <c r="L9" s="26">
        <f>(H12+H5)/2</f>
        <v>342.25</v>
      </c>
      <c r="M9" s="26">
        <f>(H14+H3)/2</f>
        <v>371.82499999999999</v>
      </c>
      <c r="N9" s="26"/>
      <c r="O9" s="26">
        <f>(H15+H2)/2</f>
        <v>220.45000000000002</v>
      </c>
      <c r="P9" s="37"/>
      <c r="Q9" s="12">
        <f>(H9)/4</f>
        <v>141.65</v>
      </c>
      <c r="R9" s="12">
        <f t="shared" si="0"/>
        <v>509.94000000000005</v>
      </c>
      <c r="S9" s="12">
        <f t="shared" si="1"/>
        <v>56.659999999999968</v>
      </c>
      <c r="T9" s="12">
        <f t="shared" si="2"/>
        <v>560.93400000000008</v>
      </c>
      <c r="U9" s="12">
        <f t="shared" si="3"/>
        <v>5.66599999999994</v>
      </c>
      <c r="V9" s="41">
        <v>8</v>
      </c>
      <c r="X9">
        <f>H9</f>
        <v>566.6</v>
      </c>
      <c r="Y9" s="113">
        <f>D9</f>
        <v>23100</v>
      </c>
      <c r="AA9" s="12"/>
      <c r="AB9" s="12"/>
      <c r="AC9" s="111">
        <f>J9</f>
        <v>244.17499999999998</v>
      </c>
      <c r="AD9" s="14">
        <f>(H6+H11)/2</f>
        <v>267.02500000000003</v>
      </c>
      <c r="AE9" s="13">
        <f>I9</f>
        <v>291.95</v>
      </c>
      <c r="AF9" s="114">
        <f t="shared" si="4"/>
        <v>317.45</v>
      </c>
      <c r="AG9" s="115">
        <f t="shared" si="4"/>
        <v>342.25</v>
      </c>
      <c r="AH9" s="116">
        <f t="shared" si="4"/>
        <v>371.82499999999999</v>
      </c>
      <c r="AI9" s="117">
        <f t="shared" si="4"/>
        <v>0</v>
      </c>
      <c r="AM9" s="122"/>
      <c r="AN9" s="122"/>
      <c r="AO9" s="127"/>
      <c r="AP9" s="125"/>
      <c r="AQ9" s="123"/>
      <c r="AR9" s="126"/>
      <c r="AS9" s="126"/>
    </row>
    <row r="10" spans="1:45" ht="28.2" thickBot="1">
      <c r="A10" s="72" t="s">
        <v>0</v>
      </c>
      <c r="B10" s="73">
        <v>46189</v>
      </c>
      <c r="C10" s="72" t="s">
        <v>20</v>
      </c>
      <c r="D10" s="74">
        <v>23150</v>
      </c>
      <c r="E10" s="72">
        <v>58</v>
      </c>
      <c r="F10" s="72">
        <v>71.900000000000006</v>
      </c>
      <c r="G10" s="72">
        <v>16.850000000000001</v>
      </c>
      <c r="H10" s="72">
        <v>20.6</v>
      </c>
      <c r="I10" s="30">
        <f>(H10+H11)/2</f>
        <v>269.97500000000002</v>
      </c>
      <c r="J10" s="30">
        <f>(H15+H6)/2</f>
        <v>222.25</v>
      </c>
      <c r="K10" s="26">
        <f>(H12+H9)/2</f>
        <v>295.52500000000003</v>
      </c>
      <c r="L10" s="26">
        <f>(H14+H7)/2</f>
        <v>321.82499999999999</v>
      </c>
      <c r="M10" s="26">
        <f>(H16+H5)/2</f>
        <v>347.82499999999999</v>
      </c>
      <c r="N10" s="26">
        <f>(H18+H3)/2</f>
        <v>378.84999999999997</v>
      </c>
      <c r="O10" s="26">
        <f>(H17+H4)/2</f>
        <v>198.54999999999998</v>
      </c>
      <c r="P10" s="37">
        <f>(H19+H2)/2</f>
        <v>176.20000000000002</v>
      </c>
      <c r="Q10" s="12">
        <f>(H10/4)</f>
        <v>5.15</v>
      </c>
      <c r="R10" s="12">
        <f t="shared" si="0"/>
        <v>18.540000000000003</v>
      </c>
      <c r="S10" s="12">
        <f t="shared" si="1"/>
        <v>2.0599999999999987</v>
      </c>
      <c r="T10" s="12">
        <f t="shared" si="2"/>
        <v>20.394000000000002</v>
      </c>
      <c r="U10" s="12">
        <f t="shared" si="3"/>
        <v>0.20599999999999952</v>
      </c>
      <c r="V10" s="41">
        <v>9</v>
      </c>
      <c r="Y10" s="112">
        <f t="shared" ref="Y10:Y31" si="5">D10</f>
        <v>23150</v>
      </c>
      <c r="Z10">
        <f>H10</f>
        <v>20.6</v>
      </c>
      <c r="AA10" s="12"/>
      <c r="AB10" s="12"/>
      <c r="AC10" s="111">
        <f t="shared" ref="AC10:AC31" si="6">J10</f>
        <v>222.25</v>
      </c>
      <c r="AD10" s="14">
        <f>(H8+H13)/2</f>
        <v>246.5</v>
      </c>
      <c r="AE10" s="13">
        <f t="shared" ref="AE10:AE31" si="7">I10</f>
        <v>269.97500000000002</v>
      </c>
      <c r="AF10" s="114">
        <f t="shared" si="4"/>
        <v>295.52500000000003</v>
      </c>
      <c r="AG10" s="115">
        <f t="shared" si="4"/>
        <v>321.82499999999999</v>
      </c>
      <c r="AH10" s="116">
        <f t="shared" si="4"/>
        <v>347.82499999999999</v>
      </c>
      <c r="AI10" s="117">
        <f>N10</f>
        <v>378.84999999999997</v>
      </c>
      <c r="AM10" s="122"/>
      <c r="AN10" s="122"/>
      <c r="AO10" s="127"/>
      <c r="AP10" s="125"/>
      <c r="AQ10" s="123"/>
      <c r="AR10" s="126"/>
      <c r="AS10" s="126"/>
    </row>
    <row r="11" spans="1:45" ht="28.2" thickBot="1">
      <c r="A11" s="72" t="s">
        <v>0</v>
      </c>
      <c r="B11" s="73">
        <v>46189</v>
      </c>
      <c r="C11" s="72" t="s">
        <v>1</v>
      </c>
      <c r="D11" s="74">
        <v>23150</v>
      </c>
      <c r="E11" s="72">
        <v>289.95</v>
      </c>
      <c r="F11" s="72">
        <v>557.35</v>
      </c>
      <c r="G11" s="72">
        <v>229.35</v>
      </c>
      <c r="H11" s="72">
        <v>519.35</v>
      </c>
      <c r="I11" s="30">
        <f>(H10+H11)/2</f>
        <v>269.97500000000002</v>
      </c>
      <c r="J11" s="30">
        <f>(H15+H6)/2</f>
        <v>222.25</v>
      </c>
      <c r="K11" s="26">
        <f>(H12+H9)/2</f>
        <v>295.52500000000003</v>
      </c>
      <c r="L11" s="26">
        <f>(H14+H7)/2</f>
        <v>321.82499999999999</v>
      </c>
      <c r="M11" s="26">
        <f>(H16+H5)/2</f>
        <v>347.82499999999999</v>
      </c>
      <c r="N11" s="26">
        <f>(H18+H3)/2</f>
        <v>378.84999999999997</v>
      </c>
      <c r="O11" s="26">
        <f>(H17+H4)/2</f>
        <v>198.54999999999998</v>
      </c>
      <c r="P11" s="37">
        <f>(H19+H2)/2</f>
        <v>176.20000000000002</v>
      </c>
      <c r="Q11" s="12">
        <f>(H11)/4</f>
        <v>129.83750000000001</v>
      </c>
      <c r="R11" s="12">
        <f t="shared" si="0"/>
        <v>467.41500000000002</v>
      </c>
      <c r="S11" s="12">
        <f t="shared" si="1"/>
        <v>51.935000000000002</v>
      </c>
      <c r="T11" s="12">
        <f t="shared" si="2"/>
        <v>514.15650000000005</v>
      </c>
      <c r="U11" s="12">
        <f t="shared" si="3"/>
        <v>5.1934999999999718</v>
      </c>
      <c r="V11" s="41">
        <v>10</v>
      </c>
      <c r="X11">
        <f>H11</f>
        <v>519.35</v>
      </c>
      <c r="Y11" s="112">
        <f t="shared" si="5"/>
        <v>23150</v>
      </c>
      <c r="AA11" s="12"/>
      <c r="AB11" s="12"/>
      <c r="AC11" s="111">
        <f t="shared" si="6"/>
        <v>222.25</v>
      </c>
      <c r="AD11" s="14">
        <f>(H8+H13)/2</f>
        <v>246.5</v>
      </c>
      <c r="AE11" s="13">
        <f t="shared" si="7"/>
        <v>269.97500000000002</v>
      </c>
      <c r="AF11" s="114">
        <f t="shared" si="4"/>
        <v>295.52500000000003</v>
      </c>
      <c r="AG11" s="115">
        <f t="shared" si="4"/>
        <v>321.82499999999999</v>
      </c>
      <c r="AH11" s="116">
        <f t="shared" si="4"/>
        <v>347.82499999999999</v>
      </c>
      <c r="AI11" s="117">
        <f t="shared" si="4"/>
        <v>378.84999999999997</v>
      </c>
      <c r="AM11" s="122"/>
      <c r="AN11" s="122"/>
      <c r="AO11" s="128"/>
      <c r="AP11" s="125"/>
      <c r="AQ11" s="123"/>
      <c r="AR11" s="126"/>
      <c r="AS11" s="126"/>
    </row>
    <row r="12" spans="1:45" ht="28.2" thickBot="1">
      <c r="A12" s="72" t="s">
        <v>0</v>
      </c>
      <c r="B12" s="73">
        <v>46189</v>
      </c>
      <c r="C12" s="72" t="s">
        <v>20</v>
      </c>
      <c r="D12" s="74">
        <v>23200</v>
      </c>
      <c r="E12" s="72">
        <v>83</v>
      </c>
      <c r="F12" s="72">
        <v>88.4</v>
      </c>
      <c r="G12" s="72">
        <v>20.350000000000001</v>
      </c>
      <c r="H12" s="72">
        <v>24.45</v>
      </c>
      <c r="I12" s="30">
        <f>(H12+H13)/2</f>
        <v>250.07499999999999</v>
      </c>
      <c r="J12" s="30">
        <f>(H17+H8)/2</f>
        <v>200.875</v>
      </c>
      <c r="K12" s="26">
        <f>(H14+H11)/2</f>
        <v>274.35000000000002</v>
      </c>
      <c r="L12" s="26">
        <f>(H16+H9)/2</f>
        <v>301.10000000000002</v>
      </c>
      <c r="M12" s="26">
        <f>(H18+H7)/2</f>
        <v>328.84999999999997</v>
      </c>
      <c r="N12" s="26">
        <f>(H20+H5)/2</f>
        <v>356.2</v>
      </c>
      <c r="O12" s="26">
        <f>(H19+H6)/2</f>
        <v>178</v>
      </c>
      <c r="P12" s="37">
        <f>(H21+H4)/2</f>
        <v>157.67499999999998</v>
      </c>
      <c r="Q12" s="12">
        <f>(H12/4)</f>
        <v>6.1124999999999998</v>
      </c>
      <c r="R12" s="12">
        <f t="shared" si="0"/>
        <v>22.004999999999999</v>
      </c>
      <c r="S12" s="12">
        <f t="shared" si="1"/>
        <v>2.4450000000000003</v>
      </c>
      <c r="T12" s="12">
        <f t="shared" si="2"/>
        <v>24.205500000000001</v>
      </c>
      <c r="U12" s="12">
        <f t="shared" si="3"/>
        <v>0.24449999999999861</v>
      </c>
      <c r="V12" s="41">
        <v>11</v>
      </c>
      <c r="Y12" s="104">
        <f t="shared" si="5"/>
        <v>23200</v>
      </c>
      <c r="Z12">
        <f>H12</f>
        <v>24.45</v>
      </c>
      <c r="AA12" s="12"/>
      <c r="AB12" s="12"/>
      <c r="AC12" s="111">
        <f t="shared" si="6"/>
        <v>200.875</v>
      </c>
      <c r="AD12" s="14">
        <f t="shared" ref="AD12" si="8">(H10+H15)/2</f>
        <v>225.20000000000002</v>
      </c>
      <c r="AE12" s="13">
        <f t="shared" si="7"/>
        <v>250.07499999999999</v>
      </c>
      <c r="AF12" s="114">
        <f t="shared" si="4"/>
        <v>274.35000000000002</v>
      </c>
      <c r="AG12" s="115">
        <f t="shared" si="4"/>
        <v>301.10000000000002</v>
      </c>
      <c r="AH12" s="116">
        <f t="shared" si="4"/>
        <v>328.84999999999997</v>
      </c>
      <c r="AI12" s="117">
        <f t="shared" si="4"/>
        <v>356.2</v>
      </c>
      <c r="AM12" s="122"/>
      <c r="AN12" s="122"/>
      <c r="AO12" s="128"/>
      <c r="AP12" s="125"/>
      <c r="AQ12" s="123"/>
      <c r="AR12" s="126"/>
      <c r="AS12" s="126"/>
    </row>
    <row r="13" spans="1:45" ht="28.2" thickBot="1">
      <c r="A13" s="72" t="s">
        <v>0</v>
      </c>
      <c r="B13" s="73">
        <v>46189</v>
      </c>
      <c r="C13" s="72" t="s">
        <v>1</v>
      </c>
      <c r="D13" s="74">
        <v>23200</v>
      </c>
      <c r="E13" s="72">
        <v>246</v>
      </c>
      <c r="F13" s="72">
        <v>510</v>
      </c>
      <c r="G13" s="72">
        <v>196</v>
      </c>
      <c r="H13" s="72">
        <v>475.7</v>
      </c>
      <c r="I13" s="30">
        <f>(H12+H13)/2</f>
        <v>250.07499999999999</v>
      </c>
      <c r="J13" s="30">
        <f>(H17+H8)/2</f>
        <v>200.875</v>
      </c>
      <c r="K13" s="26">
        <f>(H14+H11)/2</f>
        <v>274.35000000000002</v>
      </c>
      <c r="L13" s="26">
        <f>(H16+H9)/2</f>
        <v>301.10000000000002</v>
      </c>
      <c r="M13" s="26">
        <f>(H18+H7)/2</f>
        <v>328.84999999999997</v>
      </c>
      <c r="N13" s="26">
        <f>(H20+H5)/2</f>
        <v>356.2</v>
      </c>
      <c r="O13" s="26">
        <f>(H19+H6)/2</f>
        <v>178</v>
      </c>
      <c r="P13" s="37">
        <f>(H21+H4)/2</f>
        <v>157.67499999999998</v>
      </c>
      <c r="Q13" s="12">
        <f>(H13)/4</f>
        <v>118.925</v>
      </c>
      <c r="R13" s="12">
        <f t="shared" si="0"/>
        <v>428.13</v>
      </c>
      <c r="S13" s="12">
        <f t="shared" si="1"/>
        <v>47.569999999999993</v>
      </c>
      <c r="T13" s="12">
        <f t="shared" si="2"/>
        <v>470.94299999999998</v>
      </c>
      <c r="U13" s="12">
        <f t="shared" si="3"/>
        <v>4.757000000000005</v>
      </c>
      <c r="V13" s="41">
        <v>12</v>
      </c>
      <c r="X13">
        <f>H13</f>
        <v>475.7</v>
      </c>
      <c r="Y13" s="104">
        <f t="shared" si="5"/>
        <v>23200</v>
      </c>
      <c r="AA13" s="12"/>
      <c r="AB13" s="12"/>
      <c r="AC13" s="111">
        <f t="shared" si="6"/>
        <v>200.875</v>
      </c>
      <c r="AD13" s="14">
        <f t="shared" ref="AD13" si="9">(H10+H15)/2</f>
        <v>225.20000000000002</v>
      </c>
      <c r="AE13" s="13">
        <f t="shared" si="7"/>
        <v>250.07499999999999</v>
      </c>
      <c r="AF13" s="114">
        <f t="shared" si="4"/>
        <v>274.35000000000002</v>
      </c>
      <c r="AG13" s="115">
        <f t="shared" si="4"/>
        <v>301.10000000000002</v>
      </c>
      <c r="AH13" s="116">
        <f t="shared" si="4"/>
        <v>328.84999999999997</v>
      </c>
      <c r="AI13" s="117">
        <f t="shared" si="4"/>
        <v>356.2</v>
      </c>
      <c r="AM13" s="122"/>
      <c r="AN13" s="122"/>
      <c r="AO13" s="128"/>
      <c r="AP13" s="125"/>
      <c r="AQ13" s="123"/>
      <c r="AR13" s="126"/>
      <c r="AS13" s="126"/>
    </row>
    <row r="14" spans="1:45" ht="28.2" thickBot="1">
      <c r="A14" s="72" t="s">
        <v>0</v>
      </c>
      <c r="B14" s="73">
        <v>46189</v>
      </c>
      <c r="C14" s="72" t="s">
        <v>20</v>
      </c>
      <c r="D14" s="74">
        <v>23250</v>
      </c>
      <c r="E14" s="72">
        <v>90</v>
      </c>
      <c r="F14" s="72">
        <v>107.9</v>
      </c>
      <c r="G14" s="72">
        <v>24.5</v>
      </c>
      <c r="H14" s="72">
        <v>29.35</v>
      </c>
      <c r="I14" s="30">
        <f>(H14+H15)/2</f>
        <v>229.57500000000002</v>
      </c>
      <c r="J14" s="30">
        <f>(H19+H10)/2</f>
        <v>180.95000000000002</v>
      </c>
      <c r="K14" s="26">
        <f>(H16+H13)/2</f>
        <v>255.65</v>
      </c>
      <c r="L14" s="26">
        <f>(H18+H11)/2</f>
        <v>281.375</v>
      </c>
      <c r="M14" s="26">
        <f>(H20+H9)/2</f>
        <v>309.47500000000002</v>
      </c>
      <c r="N14" s="26">
        <f>(H23+H7)/2</f>
        <v>339.15</v>
      </c>
      <c r="O14" s="26">
        <f>(H21+H8)/2</f>
        <v>160</v>
      </c>
      <c r="P14" s="37">
        <f>(H22+H6)/2</f>
        <v>139.07499999999999</v>
      </c>
      <c r="Q14" s="12">
        <f>(H14/4)</f>
        <v>7.3375000000000004</v>
      </c>
      <c r="R14" s="12">
        <f t="shared" si="0"/>
        <v>26.415000000000003</v>
      </c>
      <c r="S14" s="12">
        <f t="shared" si="1"/>
        <v>2.9349999999999987</v>
      </c>
      <c r="T14" s="12">
        <f t="shared" si="2"/>
        <v>29.056500000000003</v>
      </c>
      <c r="U14" s="12">
        <f t="shared" si="3"/>
        <v>0.2934999999999981</v>
      </c>
      <c r="V14" s="41">
        <v>13</v>
      </c>
      <c r="Y14" s="104">
        <f t="shared" si="5"/>
        <v>23250</v>
      </c>
      <c r="Z14">
        <f>H14</f>
        <v>29.35</v>
      </c>
      <c r="AA14" s="12"/>
      <c r="AB14" s="12"/>
      <c r="AC14" s="111">
        <f t="shared" si="6"/>
        <v>180.95000000000002</v>
      </c>
      <c r="AD14" s="14">
        <f t="shared" ref="AD14" si="10">(H12+H17)/2</f>
        <v>204.45</v>
      </c>
      <c r="AE14" s="13">
        <f t="shared" si="7"/>
        <v>229.57500000000002</v>
      </c>
      <c r="AF14" s="114">
        <f t="shared" si="4"/>
        <v>255.65</v>
      </c>
      <c r="AG14" s="115">
        <f t="shared" si="4"/>
        <v>281.375</v>
      </c>
      <c r="AH14" s="116">
        <f t="shared" si="4"/>
        <v>309.47500000000002</v>
      </c>
      <c r="AI14" s="117">
        <f t="shared" si="4"/>
        <v>339.15</v>
      </c>
      <c r="AM14" s="122"/>
      <c r="AN14" s="122"/>
      <c r="AO14" s="128"/>
      <c r="AP14" s="125"/>
      <c r="AQ14" s="123"/>
      <c r="AR14" s="126"/>
      <c r="AS14" s="126"/>
    </row>
    <row r="15" spans="1:45" ht="28.2" thickBot="1">
      <c r="A15" s="72" t="s">
        <v>0</v>
      </c>
      <c r="B15" s="73">
        <v>46189</v>
      </c>
      <c r="C15" s="72" t="s">
        <v>1</v>
      </c>
      <c r="D15" s="74">
        <v>23250</v>
      </c>
      <c r="E15" s="72">
        <v>225</v>
      </c>
      <c r="F15" s="72">
        <v>464.6</v>
      </c>
      <c r="G15" s="72">
        <v>165</v>
      </c>
      <c r="H15" s="72">
        <v>429.8</v>
      </c>
      <c r="I15" s="30">
        <f>(H14+H15)/2</f>
        <v>229.57500000000002</v>
      </c>
      <c r="J15" s="30">
        <f>(H19+H10)/2</f>
        <v>180.95000000000002</v>
      </c>
      <c r="K15" s="26">
        <f>(H16+H13)/2</f>
        <v>255.65</v>
      </c>
      <c r="L15" s="26">
        <f>(H18+H11)/2</f>
        <v>281.375</v>
      </c>
      <c r="M15" s="26">
        <f>(H20+H9)/2</f>
        <v>309.47500000000002</v>
      </c>
      <c r="N15" s="26">
        <f>(H23+H7)/2</f>
        <v>339.15</v>
      </c>
      <c r="O15" s="26">
        <f>(H21+H8)/2</f>
        <v>160</v>
      </c>
      <c r="P15" s="37">
        <f>(H22+H6)/2</f>
        <v>139.07499999999999</v>
      </c>
      <c r="Q15" s="12">
        <f>(H15)/4</f>
        <v>107.45</v>
      </c>
      <c r="R15" s="12">
        <f t="shared" si="0"/>
        <v>386.82</v>
      </c>
      <c r="S15" s="12">
        <f t="shared" si="1"/>
        <v>42.980000000000018</v>
      </c>
      <c r="T15" s="12">
        <f t="shared" si="2"/>
        <v>425.50200000000001</v>
      </c>
      <c r="U15" s="12">
        <f t="shared" si="3"/>
        <v>4.2980000000000018</v>
      </c>
      <c r="V15" s="41">
        <v>14</v>
      </c>
      <c r="X15">
        <f>H15</f>
        <v>429.8</v>
      </c>
      <c r="Y15" s="104">
        <f t="shared" si="5"/>
        <v>23250</v>
      </c>
      <c r="AA15" s="12"/>
      <c r="AB15" s="12"/>
      <c r="AC15" s="111">
        <f t="shared" si="6"/>
        <v>180.95000000000002</v>
      </c>
      <c r="AD15" s="14">
        <f t="shared" ref="AD15" si="11">(H12+H17)/2</f>
        <v>204.45</v>
      </c>
      <c r="AE15" s="13">
        <f t="shared" si="7"/>
        <v>229.57500000000002</v>
      </c>
      <c r="AF15" s="114">
        <f t="shared" si="4"/>
        <v>255.65</v>
      </c>
      <c r="AG15" s="115">
        <f t="shared" si="4"/>
        <v>281.375</v>
      </c>
      <c r="AH15" s="116">
        <f t="shared" si="4"/>
        <v>309.47500000000002</v>
      </c>
      <c r="AI15" s="117">
        <f t="shared" si="4"/>
        <v>339.15</v>
      </c>
      <c r="AM15" s="122"/>
      <c r="AN15" s="122"/>
      <c r="AO15" s="128"/>
      <c r="AP15" s="125"/>
      <c r="AQ15" s="123"/>
      <c r="AR15" s="126"/>
      <c r="AS15" s="126"/>
    </row>
    <row r="16" spans="1:45" ht="28.2" thickBot="1">
      <c r="A16" s="72" t="s">
        <v>0</v>
      </c>
      <c r="B16" s="73">
        <v>46189</v>
      </c>
      <c r="C16" s="72" t="s">
        <v>20</v>
      </c>
      <c r="D16" s="74">
        <v>23300</v>
      </c>
      <c r="E16" s="72">
        <v>101.4</v>
      </c>
      <c r="F16" s="72">
        <v>130</v>
      </c>
      <c r="G16" s="72">
        <v>30</v>
      </c>
      <c r="H16" s="72">
        <v>35.6</v>
      </c>
      <c r="I16" s="30">
        <f>(H16+H17)/2</f>
        <v>210.02500000000001</v>
      </c>
      <c r="J16" s="30">
        <f>(H21+H12)/2</f>
        <v>163.57499999999999</v>
      </c>
      <c r="K16" s="26">
        <f>(H18+H15)/2</f>
        <v>236.6</v>
      </c>
      <c r="L16" s="26">
        <f>(H20+H13)/2</f>
        <v>264.02499999999998</v>
      </c>
      <c r="M16" s="26">
        <f>(H23+H11)/2</f>
        <v>291.67500000000001</v>
      </c>
      <c r="N16" s="26">
        <f>(H25+H9)/2</f>
        <v>322.72500000000002</v>
      </c>
      <c r="O16" s="26">
        <f>(H22+H10)/2</f>
        <v>142.02500000000001</v>
      </c>
      <c r="P16" s="37">
        <f>(H24+H8)/2</f>
        <v>123.10000000000001</v>
      </c>
      <c r="Q16" s="12">
        <f>(H16/4)</f>
        <v>8.9</v>
      </c>
      <c r="R16" s="12">
        <f t="shared" si="0"/>
        <v>32.040000000000006</v>
      </c>
      <c r="S16" s="12">
        <f t="shared" si="1"/>
        <v>3.5599999999999952</v>
      </c>
      <c r="T16" s="12">
        <f t="shared" si="2"/>
        <v>35.244000000000007</v>
      </c>
      <c r="U16" s="12">
        <f t="shared" si="3"/>
        <v>0.35599999999999454</v>
      </c>
      <c r="V16" s="41">
        <v>15</v>
      </c>
      <c r="Y16" s="104">
        <f t="shared" si="5"/>
        <v>23300</v>
      </c>
      <c r="Z16">
        <f>H16</f>
        <v>35.6</v>
      </c>
      <c r="AA16" s="12"/>
      <c r="AB16" s="12"/>
      <c r="AC16" s="111">
        <f t="shared" si="6"/>
        <v>163.57499999999999</v>
      </c>
      <c r="AD16" s="14">
        <f t="shared" ref="AD16" si="12">(H14+H19)/2</f>
        <v>185.32500000000002</v>
      </c>
      <c r="AE16" s="13">
        <f t="shared" si="7"/>
        <v>210.02500000000001</v>
      </c>
      <c r="AF16" s="114">
        <f t="shared" si="4"/>
        <v>236.6</v>
      </c>
      <c r="AG16" s="115">
        <f t="shared" si="4"/>
        <v>264.02499999999998</v>
      </c>
      <c r="AH16" s="116">
        <f t="shared" si="4"/>
        <v>291.67500000000001</v>
      </c>
      <c r="AI16" s="117">
        <f t="shared" si="4"/>
        <v>322.72500000000002</v>
      </c>
      <c r="AM16" s="122"/>
      <c r="AN16" s="122"/>
      <c r="AO16" s="128"/>
      <c r="AP16" s="125"/>
      <c r="AQ16" s="123"/>
      <c r="AR16" s="126"/>
      <c r="AS16" s="126"/>
    </row>
    <row r="17" spans="1:45" ht="28.2" thickBot="1">
      <c r="A17" s="72" t="s">
        <v>0</v>
      </c>
      <c r="B17" s="73">
        <v>46189</v>
      </c>
      <c r="C17" s="72" t="s">
        <v>1</v>
      </c>
      <c r="D17" s="74">
        <v>23300</v>
      </c>
      <c r="E17" s="72">
        <v>152</v>
      </c>
      <c r="F17" s="72">
        <v>418.85</v>
      </c>
      <c r="G17" s="72">
        <v>137.1</v>
      </c>
      <c r="H17" s="72">
        <v>384.45</v>
      </c>
      <c r="I17" s="30">
        <f>(H16+H17)/2</f>
        <v>210.02500000000001</v>
      </c>
      <c r="J17" s="30">
        <f>(H21+H12)/2</f>
        <v>163.57499999999999</v>
      </c>
      <c r="K17" s="26">
        <f>(H18+H15)/2</f>
        <v>236.6</v>
      </c>
      <c r="L17" s="26">
        <f>(H20+H13)/2</f>
        <v>264.02499999999998</v>
      </c>
      <c r="M17" s="26">
        <f>(H23+H11)/2</f>
        <v>291.67500000000001</v>
      </c>
      <c r="N17" s="26">
        <f>(H25+H9)/2</f>
        <v>322.72500000000002</v>
      </c>
      <c r="O17" s="26">
        <f>(H22+H10)/2</f>
        <v>142.02500000000001</v>
      </c>
      <c r="P17" s="37">
        <f>(H24+H8)/2</f>
        <v>123.10000000000001</v>
      </c>
      <c r="Q17" s="12">
        <f>(H17)/4</f>
        <v>96.112499999999997</v>
      </c>
      <c r="R17" s="12">
        <f t="shared" si="0"/>
        <v>346.005</v>
      </c>
      <c r="S17" s="12">
        <f t="shared" si="1"/>
        <v>38.444999999999993</v>
      </c>
      <c r="T17" s="12">
        <f t="shared" si="2"/>
        <v>380.60550000000001</v>
      </c>
      <c r="U17" s="12">
        <f t="shared" si="3"/>
        <v>3.8444999999999823</v>
      </c>
      <c r="V17" s="41">
        <v>16</v>
      </c>
      <c r="X17">
        <f>H17</f>
        <v>384.45</v>
      </c>
      <c r="Y17" s="104">
        <f t="shared" si="5"/>
        <v>23300</v>
      </c>
      <c r="AA17" s="12"/>
      <c r="AB17" s="12"/>
      <c r="AC17" s="111">
        <f t="shared" si="6"/>
        <v>163.57499999999999</v>
      </c>
      <c r="AD17" s="14">
        <f t="shared" ref="AD17" si="13">(H14+H19)/2</f>
        <v>185.32500000000002</v>
      </c>
      <c r="AE17" s="13">
        <f t="shared" si="7"/>
        <v>210.02500000000001</v>
      </c>
      <c r="AF17" s="114">
        <f t="shared" si="4"/>
        <v>236.6</v>
      </c>
      <c r="AG17" s="115">
        <f t="shared" si="4"/>
        <v>264.02499999999998</v>
      </c>
      <c r="AH17" s="116">
        <f t="shared" si="4"/>
        <v>291.67500000000001</v>
      </c>
      <c r="AI17" s="117">
        <f t="shared" si="4"/>
        <v>322.72500000000002</v>
      </c>
      <c r="AM17" s="122"/>
      <c r="AN17" s="122"/>
      <c r="AO17" s="128"/>
      <c r="AP17" s="125"/>
      <c r="AQ17" s="123"/>
      <c r="AR17" s="126"/>
      <c r="AS17" s="126"/>
    </row>
    <row r="18" spans="1:45" ht="28.2" thickBot="1">
      <c r="A18" s="72" t="s">
        <v>0</v>
      </c>
      <c r="B18" s="73">
        <v>46189</v>
      </c>
      <c r="C18" s="72" t="s">
        <v>20</v>
      </c>
      <c r="D18" s="74">
        <v>23350</v>
      </c>
      <c r="E18" s="72">
        <v>110.15</v>
      </c>
      <c r="F18" s="72">
        <v>155</v>
      </c>
      <c r="G18" s="72">
        <v>36.450000000000003</v>
      </c>
      <c r="H18" s="72">
        <v>43.4</v>
      </c>
      <c r="I18" s="30">
        <f>(H18+H19)/2</f>
        <v>192.35</v>
      </c>
      <c r="J18" s="30">
        <f>(H22+H14)/2</f>
        <v>146.4</v>
      </c>
      <c r="K18" s="26">
        <f>(H20+H15)/2</f>
        <v>241.07500000000002</v>
      </c>
      <c r="L18" s="26">
        <f>(H23+H15)/2</f>
        <v>246.9</v>
      </c>
      <c r="M18" s="26">
        <f>(H25+H13)/2</f>
        <v>277.27499999999998</v>
      </c>
      <c r="N18" s="26">
        <f>(H27+H11)/2</f>
        <v>307.92500000000001</v>
      </c>
      <c r="O18" s="26">
        <f>(H24+H12)/2</f>
        <v>126.675</v>
      </c>
      <c r="P18" s="37">
        <f>(H26+H10)/2</f>
        <v>108.5</v>
      </c>
      <c r="Q18" s="12">
        <f>(H18/4)</f>
        <v>10.85</v>
      </c>
      <c r="R18" s="12">
        <f t="shared" si="0"/>
        <v>39.06</v>
      </c>
      <c r="S18" s="12">
        <f t="shared" si="1"/>
        <v>4.3399999999999963</v>
      </c>
      <c r="T18" s="12">
        <f t="shared" si="2"/>
        <v>42.966000000000001</v>
      </c>
      <c r="U18" s="12">
        <f t="shared" si="3"/>
        <v>0.4339999999999975</v>
      </c>
      <c r="V18" s="41">
        <v>17</v>
      </c>
      <c r="Y18" s="104">
        <f t="shared" si="5"/>
        <v>23350</v>
      </c>
      <c r="Z18">
        <f>H18</f>
        <v>43.4</v>
      </c>
      <c r="AA18" s="12"/>
      <c r="AB18" s="12"/>
      <c r="AC18" s="111">
        <f t="shared" si="6"/>
        <v>146.4</v>
      </c>
      <c r="AD18" s="14">
        <f t="shared" ref="AD18" si="14">(H16+H21)/2</f>
        <v>169.15</v>
      </c>
      <c r="AE18" s="13">
        <f t="shared" si="7"/>
        <v>192.35</v>
      </c>
      <c r="AF18" s="114">
        <f t="shared" si="4"/>
        <v>241.07500000000002</v>
      </c>
      <c r="AG18" s="115">
        <f t="shared" si="4"/>
        <v>246.9</v>
      </c>
      <c r="AH18" s="116">
        <f t="shared" si="4"/>
        <v>277.27499999999998</v>
      </c>
      <c r="AI18" s="117">
        <f t="shared" si="4"/>
        <v>307.92500000000001</v>
      </c>
      <c r="AM18" s="122"/>
      <c r="AN18" s="122"/>
      <c r="AO18" s="128"/>
      <c r="AP18" s="125"/>
      <c r="AQ18" s="123"/>
      <c r="AR18" s="126"/>
      <c r="AS18" s="126"/>
    </row>
    <row r="19" spans="1:45" ht="28.2" thickBot="1">
      <c r="A19" s="72" t="s">
        <v>0</v>
      </c>
      <c r="B19" s="73">
        <v>46189</v>
      </c>
      <c r="C19" s="72" t="s">
        <v>1</v>
      </c>
      <c r="D19" s="74">
        <v>23350</v>
      </c>
      <c r="E19" s="72">
        <v>180</v>
      </c>
      <c r="F19" s="72">
        <v>376.45</v>
      </c>
      <c r="G19" s="72">
        <v>112.35</v>
      </c>
      <c r="H19" s="72">
        <v>341.3</v>
      </c>
      <c r="I19" s="30">
        <f>(H18+H19)/2</f>
        <v>192.35</v>
      </c>
      <c r="J19" s="30">
        <f>(H22+H14)/2</f>
        <v>146.4</v>
      </c>
      <c r="K19" s="26">
        <f>(H20+H15)/2</f>
        <v>241.07500000000002</v>
      </c>
      <c r="L19" s="26">
        <f>(H23+H15)/2</f>
        <v>246.9</v>
      </c>
      <c r="M19" s="26">
        <f>(H25+H13)/2</f>
        <v>277.27499999999998</v>
      </c>
      <c r="N19" s="26">
        <f>(H27+H11)/2</f>
        <v>307.92500000000001</v>
      </c>
      <c r="O19" s="26">
        <f>(H24+H12)/2</f>
        <v>126.675</v>
      </c>
      <c r="P19" s="37">
        <f>(H26+H10)/2</f>
        <v>108.5</v>
      </c>
      <c r="Q19" s="12">
        <f>(H19)/4</f>
        <v>85.325000000000003</v>
      </c>
      <c r="R19" s="12">
        <f t="shared" si="0"/>
        <v>307.17</v>
      </c>
      <c r="S19" s="12">
        <f t="shared" si="1"/>
        <v>34.129999999999995</v>
      </c>
      <c r="T19" s="12">
        <f t="shared" si="2"/>
        <v>337.887</v>
      </c>
      <c r="U19" s="12">
        <f t="shared" si="3"/>
        <v>3.4130000000000109</v>
      </c>
      <c r="V19" s="41">
        <v>18</v>
      </c>
      <c r="X19">
        <f>H19</f>
        <v>341.3</v>
      </c>
      <c r="Y19" s="104">
        <f t="shared" si="5"/>
        <v>23350</v>
      </c>
      <c r="AA19" s="12"/>
      <c r="AB19" s="12"/>
      <c r="AC19" s="111">
        <f t="shared" si="6"/>
        <v>146.4</v>
      </c>
      <c r="AD19" s="14">
        <f t="shared" ref="AD19" si="15">(H16+H21)/2</f>
        <v>169.15</v>
      </c>
      <c r="AE19" s="13">
        <f t="shared" si="7"/>
        <v>192.35</v>
      </c>
      <c r="AF19" s="114">
        <f t="shared" si="4"/>
        <v>241.07500000000002</v>
      </c>
      <c r="AG19" s="115">
        <f t="shared" si="4"/>
        <v>246.9</v>
      </c>
      <c r="AH19" s="116">
        <f t="shared" si="4"/>
        <v>277.27499999999998</v>
      </c>
      <c r="AI19" s="117">
        <f t="shared" si="4"/>
        <v>307.92500000000001</v>
      </c>
      <c r="AM19" s="122"/>
      <c r="AN19" s="122"/>
      <c r="AO19" s="128"/>
      <c r="AP19" s="125"/>
      <c r="AQ19" s="123"/>
      <c r="AR19" s="126"/>
      <c r="AS19" s="126"/>
    </row>
    <row r="20" spans="1:45" ht="28.2" thickBot="1">
      <c r="A20" s="72" t="s">
        <v>0</v>
      </c>
      <c r="B20" s="73">
        <v>46189</v>
      </c>
      <c r="C20" s="72" t="s">
        <v>20</v>
      </c>
      <c r="D20" s="74">
        <v>23400</v>
      </c>
      <c r="E20" s="72">
        <v>167</v>
      </c>
      <c r="F20" s="72">
        <v>183.25</v>
      </c>
      <c r="G20" s="72">
        <v>44.1</v>
      </c>
      <c r="H20" s="72">
        <v>52.35</v>
      </c>
      <c r="I20" s="43">
        <f>(H20+H21)/2</f>
        <v>177.52500000000001</v>
      </c>
      <c r="J20">
        <f>(H24+H16)/2</f>
        <v>132.25</v>
      </c>
      <c r="K20">
        <f>(H23+H19)/2</f>
        <v>202.65</v>
      </c>
      <c r="L20">
        <f>(H25+H17)/2</f>
        <v>231.64999999999998</v>
      </c>
      <c r="M20">
        <f>(H27+H15)/2</f>
        <v>263.14999999999998</v>
      </c>
      <c r="N20">
        <f>(H29+H13)/2</f>
        <v>295.875</v>
      </c>
      <c r="O20">
        <f>(H26+H14)/2</f>
        <v>112.875</v>
      </c>
      <c r="P20">
        <f>(H28+H12)/2</f>
        <v>95.474999999999994</v>
      </c>
      <c r="Q20" s="12">
        <f>(H20/4)</f>
        <v>13.0875</v>
      </c>
      <c r="R20" s="12">
        <f t="shared" si="0"/>
        <v>47.114999999999995</v>
      </c>
      <c r="S20" s="12">
        <f t="shared" si="1"/>
        <v>5.2350000000000065</v>
      </c>
      <c r="T20" s="12">
        <f t="shared" si="2"/>
        <v>51.826499999999996</v>
      </c>
      <c r="U20" s="12">
        <f t="shared" si="3"/>
        <v>0.52350000000000563</v>
      </c>
      <c r="V20" s="41">
        <v>19</v>
      </c>
      <c r="Y20" s="104">
        <f t="shared" si="5"/>
        <v>23400</v>
      </c>
      <c r="Z20">
        <f>H20</f>
        <v>52.35</v>
      </c>
      <c r="AA20" s="12"/>
      <c r="AB20" s="12"/>
      <c r="AC20" s="111">
        <f t="shared" si="6"/>
        <v>132.25</v>
      </c>
      <c r="AD20" s="14">
        <f>(H18+H22)/2</f>
        <v>153.42499999999998</v>
      </c>
      <c r="AE20" s="13">
        <f t="shared" si="7"/>
        <v>177.52500000000001</v>
      </c>
      <c r="AF20" s="114">
        <f t="shared" si="4"/>
        <v>202.65</v>
      </c>
      <c r="AG20" s="115">
        <f t="shared" si="4"/>
        <v>231.64999999999998</v>
      </c>
      <c r="AH20" s="116">
        <f t="shared" si="4"/>
        <v>263.14999999999998</v>
      </c>
      <c r="AI20" s="117">
        <f t="shared" si="4"/>
        <v>295.875</v>
      </c>
      <c r="AM20" s="122"/>
      <c r="AN20" s="122"/>
      <c r="AO20" s="128"/>
      <c r="AP20" s="125"/>
      <c r="AQ20" s="123"/>
      <c r="AR20" s="126"/>
      <c r="AS20" s="126"/>
    </row>
    <row r="21" spans="1:45" ht="28.2" thickBot="1">
      <c r="A21" s="97" t="s">
        <v>0</v>
      </c>
      <c r="B21" s="139">
        <v>46189</v>
      </c>
      <c r="C21" s="97" t="s">
        <v>1</v>
      </c>
      <c r="D21" s="98">
        <v>23400</v>
      </c>
      <c r="E21" s="97">
        <v>120</v>
      </c>
      <c r="F21" s="97">
        <v>335</v>
      </c>
      <c r="G21" s="97">
        <v>90.55</v>
      </c>
      <c r="H21" s="97">
        <v>302.7</v>
      </c>
      <c r="I21" s="43">
        <f>(H20+H21)/2</f>
        <v>177.52500000000001</v>
      </c>
      <c r="J21" s="31">
        <f>(H24+H16)/2</f>
        <v>132.25</v>
      </c>
      <c r="K21" s="31">
        <f>(H23+H19)/2</f>
        <v>202.65</v>
      </c>
      <c r="L21" s="31">
        <f>(H25+H17)/2</f>
        <v>231.64999999999998</v>
      </c>
      <c r="M21" s="31">
        <f>(H27+H15)/2</f>
        <v>263.14999999999998</v>
      </c>
      <c r="N21" s="31">
        <f>(H29+H13)/2</f>
        <v>295.875</v>
      </c>
      <c r="O21" s="31">
        <f>(H26+H14)/2</f>
        <v>112.875</v>
      </c>
      <c r="P21" s="31">
        <f>(H28+H12)/2</f>
        <v>95.474999999999994</v>
      </c>
      <c r="Q21" s="12">
        <f t="shared" ref="Q21:Q22" si="16">(H21)/4</f>
        <v>75.674999999999997</v>
      </c>
      <c r="R21" s="12">
        <f t="shared" si="0"/>
        <v>272.42999999999995</v>
      </c>
      <c r="S21" s="12">
        <f t="shared" si="1"/>
        <v>30.270000000000039</v>
      </c>
      <c r="T21" s="12">
        <f t="shared" si="2"/>
        <v>299.67299999999994</v>
      </c>
      <c r="U21" s="12">
        <f t="shared" si="3"/>
        <v>3.0270000000000437</v>
      </c>
      <c r="V21" s="42">
        <v>20</v>
      </c>
      <c r="X21" s="105">
        <f>H21</f>
        <v>302.7</v>
      </c>
      <c r="Y21" s="106">
        <f t="shared" si="5"/>
        <v>23400</v>
      </c>
      <c r="Z21" s="105"/>
      <c r="AA21" s="110"/>
      <c r="AB21" s="12"/>
      <c r="AC21" s="111">
        <f t="shared" si="6"/>
        <v>132.25</v>
      </c>
      <c r="AD21" s="14">
        <f>(H18+H22)/2</f>
        <v>153.42499999999998</v>
      </c>
      <c r="AE21" s="13">
        <f t="shared" si="7"/>
        <v>177.52500000000001</v>
      </c>
      <c r="AF21" s="114">
        <f t="shared" si="4"/>
        <v>202.65</v>
      </c>
      <c r="AG21" s="115">
        <f t="shared" si="4"/>
        <v>231.64999999999998</v>
      </c>
      <c r="AH21" s="116">
        <f t="shared" si="4"/>
        <v>263.14999999999998</v>
      </c>
      <c r="AI21" s="117">
        <f t="shared" si="4"/>
        <v>295.875</v>
      </c>
      <c r="AM21" s="131">
        <f>+Y24+X24</f>
        <v>23728.9</v>
      </c>
      <c r="AN21" s="131">
        <f>Y22+X22</f>
        <v>23713.45</v>
      </c>
      <c r="AO21" s="129">
        <f>Y21+X21</f>
        <v>23702.7</v>
      </c>
      <c r="AP21" s="125">
        <f>(X21)-(Z20)</f>
        <v>250.35</v>
      </c>
      <c r="AQ21" s="130">
        <f>Y20-Z20</f>
        <v>23347.65</v>
      </c>
      <c r="AR21" s="132">
        <f>Y18-Z18</f>
        <v>23306.6</v>
      </c>
      <c r="AS21" s="132">
        <f>Y16-Z16</f>
        <v>23264.400000000001</v>
      </c>
    </row>
    <row r="22" spans="1:45" ht="28.2" thickBot="1">
      <c r="A22" s="72" t="s">
        <v>0</v>
      </c>
      <c r="B22" s="73">
        <v>46189</v>
      </c>
      <c r="C22" s="72" t="s">
        <v>1</v>
      </c>
      <c r="D22" s="74">
        <v>23450</v>
      </c>
      <c r="E22" s="72">
        <v>98</v>
      </c>
      <c r="F22" s="72">
        <v>295.95</v>
      </c>
      <c r="G22" s="72">
        <v>71.599999999999994</v>
      </c>
      <c r="H22" s="72">
        <v>263.45</v>
      </c>
      <c r="I22" s="35">
        <f>(H22+H23)/2</f>
        <v>163.72499999999999</v>
      </c>
      <c r="J22" s="35">
        <f>J23</f>
        <v>119.9</v>
      </c>
      <c r="K22" s="27">
        <f>(H25+H21)/2</f>
        <v>190.77499999999998</v>
      </c>
      <c r="L22" s="27">
        <f>(H27+H19)/2</f>
        <v>218.9</v>
      </c>
      <c r="M22" s="27">
        <f>(H29+H17)/2</f>
        <v>250.25</v>
      </c>
      <c r="N22" s="27">
        <f>(H31+H15)/2</f>
        <v>283.42500000000001</v>
      </c>
      <c r="O22" s="27">
        <f>(H28+H18)/2</f>
        <v>104.95</v>
      </c>
      <c r="P22" s="38">
        <f>(H30+H14)/2</f>
        <v>85</v>
      </c>
      <c r="Q22" s="12">
        <f t="shared" si="16"/>
        <v>65.862499999999997</v>
      </c>
      <c r="R22" s="12">
        <f t="shared" si="0"/>
        <v>237.10500000000002</v>
      </c>
      <c r="S22" s="12">
        <f t="shared" si="1"/>
        <v>26.34499999999997</v>
      </c>
      <c r="T22" s="12">
        <f t="shared" si="2"/>
        <v>260.81549999999999</v>
      </c>
      <c r="U22" s="12">
        <f t="shared" si="3"/>
        <v>2.6345000000000027</v>
      </c>
      <c r="V22" s="41">
        <v>21</v>
      </c>
      <c r="X22">
        <f>H22</f>
        <v>263.45</v>
      </c>
      <c r="Y22" s="104">
        <f t="shared" si="5"/>
        <v>23450</v>
      </c>
      <c r="AA22" s="12"/>
      <c r="AB22" s="12"/>
      <c r="AC22" s="111">
        <f t="shared" si="6"/>
        <v>119.9</v>
      </c>
      <c r="AD22" s="14">
        <f>(H20+H24)/2</f>
        <v>140.625</v>
      </c>
      <c r="AE22" s="13">
        <f t="shared" si="7"/>
        <v>163.72499999999999</v>
      </c>
      <c r="AF22" s="114">
        <f t="shared" si="4"/>
        <v>190.77499999999998</v>
      </c>
      <c r="AG22" s="115">
        <f t="shared" si="4"/>
        <v>218.9</v>
      </c>
      <c r="AH22" s="116">
        <f t="shared" si="4"/>
        <v>250.25</v>
      </c>
      <c r="AI22" s="117">
        <f t="shared" si="4"/>
        <v>283.42500000000001</v>
      </c>
      <c r="AM22" s="122"/>
      <c r="AN22" s="122"/>
      <c r="AO22" s="128"/>
      <c r="AP22" s="125"/>
      <c r="AQ22" s="123"/>
      <c r="AR22" s="126"/>
      <c r="AS22" s="126"/>
    </row>
    <row r="23" spans="1:45" ht="28.2" thickBot="1">
      <c r="A23" s="72" t="s">
        <v>0</v>
      </c>
      <c r="B23" s="73">
        <v>46189</v>
      </c>
      <c r="C23" s="72" t="s">
        <v>20</v>
      </c>
      <c r="D23" s="74">
        <v>23450</v>
      </c>
      <c r="E23" s="72">
        <v>175</v>
      </c>
      <c r="F23" s="72">
        <v>214</v>
      </c>
      <c r="G23" s="72">
        <v>53.9</v>
      </c>
      <c r="H23" s="72">
        <v>64</v>
      </c>
      <c r="I23" s="35">
        <f>(H22+H23)/2</f>
        <v>163.72499999999999</v>
      </c>
      <c r="J23" s="35">
        <f>(H26+H18)/2</f>
        <v>119.9</v>
      </c>
      <c r="K23" s="27">
        <f>(H25+H21)/2</f>
        <v>190.77499999999998</v>
      </c>
      <c r="L23" s="27">
        <f>(H27+H19)/2</f>
        <v>218.9</v>
      </c>
      <c r="M23" s="27">
        <f>(H29+H17)/2</f>
        <v>250.25</v>
      </c>
      <c r="N23" s="27">
        <f>(H31+H15)/2</f>
        <v>283.42500000000001</v>
      </c>
      <c r="O23" s="27">
        <f>(H28+H18)/2</f>
        <v>104.95</v>
      </c>
      <c r="P23" s="38">
        <f>(H30+H14)/2</f>
        <v>85</v>
      </c>
      <c r="Q23" s="12">
        <f>(H23/4)</f>
        <v>16</v>
      </c>
      <c r="R23" s="12">
        <f t="shared" si="0"/>
        <v>57.6</v>
      </c>
      <c r="S23" s="12">
        <f t="shared" si="1"/>
        <v>6.3999999999999986</v>
      </c>
      <c r="T23" s="12">
        <f t="shared" si="2"/>
        <v>63.36</v>
      </c>
      <c r="U23" s="12">
        <f t="shared" si="3"/>
        <v>0.64000000000000057</v>
      </c>
      <c r="V23" s="41">
        <v>22</v>
      </c>
      <c r="Y23" s="104">
        <f t="shared" si="5"/>
        <v>23450</v>
      </c>
      <c r="Z23">
        <f>H23</f>
        <v>64</v>
      </c>
      <c r="AA23" s="12"/>
      <c r="AB23" s="12"/>
      <c r="AC23" s="111">
        <f t="shared" si="6"/>
        <v>119.9</v>
      </c>
      <c r="AD23" s="14">
        <f>(H20+H24)/2</f>
        <v>140.625</v>
      </c>
      <c r="AE23" s="13">
        <f t="shared" si="7"/>
        <v>163.72499999999999</v>
      </c>
      <c r="AF23" s="114">
        <f t="shared" si="4"/>
        <v>190.77499999999998</v>
      </c>
      <c r="AG23" s="115">
        <f t="shared" si="4"/>
        <v>218.9</v>
      </c>
      <c r="AH23" s="116">
        <f t="shared" si="4"/>
        <v>250.25</v>
      </c>
      <c r="AI23" s="117">
        <f t="shared" si="4"/>
        <v>283.42500000000001</v>
      </c>
      <c r="AM23" s="122"/>
      <c r="AN23" s="122"/>
      <c r="AO23" s="128"/>
      <c r="AP23" s="125"/>
      <c r="AQ23" s="123"/>
      <c r="AR23" s="126"/>
      <c r="AS23" s="126"/>
    </row>
    <row r="24" spans="1:45" ht="28.2" thickBot="1">
      <c r="A24" s="72" t="s">
        <v>0</v>
      </c>
      <c r="B24" s="73">
        <v>46189</v>
      </c>
      <c r="C24" s="72" t="s">
        <v>1</v>
      </c>
      <c r="D24" s="74">
        <v>23500</v>
      </c>
      <c r="E24" s="72">
        <v>76</v>
      </c>
      <c r="F24" s="72">
        <v>258</v>
      </c>
      <c r="G24" s="72">
        <v>55.55</v>
      </c>
      <c r="H24" s="72">
        <v>228.9</v>
      </c>
      <c r="I24" s="35">
        <f>(H24+H25)/2</f>
        <v>153.875</v>
      </c>
      <c r="J24" s="35">
        <f>(H28+H20)/2</f>
        <v>109.425</v>
      </c>
      <c r="K24" s="27">
        <f>(H27+H22)/2</f>
        <v>179.97499999999999</v>
      </c>
      <c r="L24" s="27">
        <f>(H29+H21)/2</f>
        <v>209.375</v>
      </c>
      <c r="M24" s="27">
        <f>(H31+H19)/2</f>
        <v>239.17500000000001</v>
      </c>
      <c r="N24" s="27">
        <f>(H33+H17)/2</f>
        <v>273.95</v>
      </c>
      <c r="O24" s="27">
        <f>(H30+H18)/2</f>
        <v>92.025000000000006</v>
      </c>
      <c r="P24" s="38">
        <f>(H32+H16)/2</f>
        <v>75.75</v>
      </c>
      <c r="Q24" s="12">
        <f>(H24)/4</f>
        <v>57.225000000000001</v>
      </c>
      <c r="R24" s="12">
        <f t="shared" si="0"/>
        <v>206.01000000000002</v>
      </c>
      <c r="S24" s="12">
        <f t="shared" si="1"/>
        <v>22.889999999999986</v>
      </c>
      <c r="T24" s="12">
        <f t="shared" si="2"/>
        <v>226.61100000000002</v>
      </c>
      <c r="U24" s="12">
        <f t="shared" si="3"/>
        <v>2.2889999999999873</v>
      </c>
      <c r="V24" s="41">
        <v>23</v>
      </c>
      <c r="X24">
        <f>H24</f>
        <v>228.9</v>
      </c>
      <c r="Y24" s="104">
        <f t="shared" si="5"/>
        <v>23500</v>
      </c>
      <c r="AA24" s="12"/>
      <c r="AB24" s="12"/>
      <c r="AC24" s="111">
        <f t="shared" si="6"/>
        <v>109.425</v>
      </c>
      <c r="AD24" s="14">
        <f>(H23+H26)/2</f>
        <v>130.19999999999999</v>
      </c>
      <c r="AE24" s="13">
        <f t="shared" si="7"/>
        <v>153.875</v>
      </c>
      <c r="AF24" s="114">
        <f t="shared" ref="AF24:AI31" si="17">K24</f>
        <v>179.97499999999999</v>
      </c>
      <c r="AG24" s="115">
        <f t="shared" si="17"/>
        <v>209.375</v>
      </c>
      <c r="AH24" s="116">
        <f t="shared" si="17"/>
        <v>239.17500000000001</v>
      </c>
      <c r="AI24" s="117">
        <f t="shared" si="17"/>
        <v>273.95</v>
      </c>
      <c r="AM24" s="122"/>
      <c r="AN24" s="122"/>
      <c r="AO24" s="128"/>
      <c r="AP24" s="125"/>
      <c r="AQ24" s="123"/>
      <c r="AR24" s="126"/>
      <c r="AS24" s="126"/>
    </row>
    <row r="25" spans="1:45" ht="28.2" thickBot="1">
      <c r="A25" s="72" t="s">
        <v>0</v>
      </c>
      <c r="B25" s="73">
        <v>46189</v>
      </c>
      <c r="C25" s="72" t="s">
        <v>20</v>
      </c>
      <c r="D25" s="74">
        <v>23500</v>
      </c>
      <c r="E25" s="72">
        <v>203.05</v>
      </c>
      <c r="F25" s="72">
        <v>248</v>
      </c>
      <c r="G25" s="72">
        <v>66.2</v>
      </c>
      <c r="H25" s="72">
        <v>78.849999999999994</v>
      </c>
      <c r="I25" s="35">
        <f>(H24+H25)/2</f>
        <v>153.875</v>
      </c>
      <c r="J25" s="35">
        <f>(H28+H20)/2</f>
        <v>109.425</v>
      </c>
      <c r="K25" s="27">
        <f>(H27+H22)/2</f>
        <v>179.97499999999999</v>
      </c>
      <c r="L25" s="27">
        <f>(H29+H21)/2</f>
        <v>209.375</v>
      </c>
      <c r="M25" s="27">
        <f>(H31+H19)/2</f>
        <v>239.17500000000001</v>
      </c>
      <c r="N25" s="27">
        <f>(H33+H17)/2</f>
        <v>273.95</v>
      </c>
      <c r="O25" s="27">
        <f>(H30+H18)/2</f>
        <v>92.025000000000006</v>
      </c>
      <c r="P25" s="38">
        <f>(H32+H16)/2</f>
        <v>75.75</v>
      </c>
      <c r="Q25" s="12">
        <f>(H25/4)</f>
        <v>19.712499999999999</v>
      </c>
      <c r="R25" s="12">
        <f t="shared" si="0"/>
        <v>70.965000000000003</v>
      </c>
      <c r="S25" s="12">
        <f t="shared" si="1"/>
        <v>7.8849999999999909</v>
      </c>
      <c r="T25" s="12">
        <f t="shared" si="2"/>
        <v>78.061499999999995</v>
      </c>
      <c r="U25" s="12">
        <f t="shared" si="3"/>
        <v>0.78849999999999909</v>
      </c>
      <c r="V25" s="41">
        <v>24</v>
      </c>
      <c r="Y25" s="104">
        <f t="shared" si="5"/>
        <v>23500</v>
      </c>
      <c r="Z25">
        <f>H25</f>
        <v>78.849999999999994</v>
      </c>
      <c r="AA25" s="12"/>
      <c r="AB25" s="12"/>
      <c r="AC25" s="111">
        <f t="shared" si="6"/>
        <v>109.425</v>
      </c>
      <c r="AD25" s="14">
        <f>(H23+H26)/2</f>
        <v>130.19999999999999</v>
      </c>
      <c r="AE25" s="13">
        <f t="shared" si="7"/>
        <v>153.875</v>
      </c>
      <c r="AF25" s="114">
        <f t="shared" si="17"/>
        <v>179.97499999999999</v>
      </c>
      <c r="AG25" s="115">
        <f t="shared" si="17"/>
        <v>209.375</v>
      </c>
      <c r="AH25" s="116">
        <f t="shared" si="17"/>
        <v>239.17500000000001</v>
      </c>
      <c r="AI25" s="117">
        <f t="shared" si="17"/>
        <v>273.95</v>
      </c>
      <c r="AM25" s="122"/>
      <c r="AN25" s="122"/>
      <c r="AO25" s="128"/>
      <c r="AP25" s="125"/>
      <c r="AQ25" s="123"/>
      <c r="AR25" s="126"/>
      <c r="AS25" s="126"/>
    </row>
    <row r="26" spans="1:45" ht="28.2" thickBot="1">
      <c r="A26" s="72" t="s">
        <v>0</v>
      </c>
      <c r="B26" s="73">
        <v>46189</v>
      </c>
      <c r="C26" s="72" t="s">
        <v>1</v>
      </c>
      <c r="D26" s="74">
        <v>23550</v>
      </c>
      <c r="E26" s="72">
        <v>67.95</v>
      </c>
      <c r="F26" s="72">
        <v>223.8</v>
      </c>
      <c r="G26" s="72">
        <v>42.35</v>
      </c>
      <c r="H26" s="72">
        <v>196.4</v>
      </c>
      <c r="I26" s="35">
        <f>(H26+H27)/2</f>
        <v>146.44999999999999</v>
      </c>
      <c r="J26" s="35">
        <f>(H30+H23)/2</f>
        <v>102.325</v>
      </c>
      <c r="K26" s="27">
        <f>(H29+H24)/2</f>
        <v>172.47499999999999</v>
      </c>
      <c r="L26" s="27">
        <f>(H31+H22)/2</f>
        <v>200.25</v>
      </c>
      <c r="M26" s="27">
        <f>(H33+H21)/2</f>
        <v>233.07499999999999</v>
      </c>
      <c r="N26" s="27">
        <f>(H35+H19)/2</f>
        <v>266.60000000000002</v>
      </c>
      <c r="O26" s="27">
        <f>(H32+H20)/2</f>
        <v>84.125</v>
      </c>
      <c r="P26" s="38">
        <f>(H34+H18)/2</f>
        <v>69.275000000000006</v>
      </c>
      <c r="Q26" s="12">
        <f>(H26)/4</f>
        <v>49.1</v>
      </c>
      <c r="R26" s="12">
        <f t="shared" si="0"/>
        <v>176.76</v>
      </c>
      <c r="S26" s="12">
        <f t="shared" si="1"/>
        <v>19.640000000000015</v>
      </c>
      <c r="T26" s="12">
        <f t="shared" si="2"/>
        <v>194.43600000000001</v>
      </c>
      <c r="U26" s="12">
        <f t="shared" si="3"/>
        <v>1.9639999999999986</v>
      </c>
      <c r="V26" s="41">
        <v>25</v>
      </c>
      <c r="X26">
        <f>H26</f>
        <v>196.4</v>
      </c>
      <c r="Y26" s="104">
        <f t="shared" si="5"/>
        <v>23550</v>
      </c>
      <c r="AA26" s="12"/>
      <c r="AB26" s="12"/>
      <c r="AC26" s="111">
        <f t="shared" si="6"/>
        <v>102.325</v>
      </c>
      <c r="AD26" s="14">
        <f>(H25+H28)/2</f>
        <v>122.675</v>
      </c>
      <c r="AE26" s="13">
        <f t="shared" si="7"/>
        <v>146.44999999999999</v>
      </c>
      <c r="AF26" s="114">
        <f t="shared" si="17"/>
        <v>172.47499999999999</v>
      </c>
      <c r="AG26" s="115">
        <f t="shared" si="17"/>
        <v>200.25</v>
      </c>
      <c r="AH26" s="116">
        <f t="shared" si="17"/>
        <v>233.07499999999999</v>
      </c>
      <c r="AI26" s="117">
        <f t="shared" si="17"/>
        <v>266.60000000000002</v>
      </c>
      <c r="AM26" s="122"/>
      <c r="AN26" s="122"/>
      <c r="AO26" s="128"/>
      <c r="AP26" s="125"/>
      <c r="AQ26" s="123"/>
      <c r="AR26" s="126"/>
      <c r="AS26" s="126"/>
    </row>
    <row r="27" spans="1:45" ht="28.2" thickBot="1">
      <c r="A27" s="72" t="s">
        <v>0</v>
      </c>
      <c r="B27" s="73">
        <v>46189</v>
      </c>
      <c r="C27" s="72" t="s">
        <v>20</v>
      </c>
      <c r="D27" s="74">
        <v>23550</v>
      </c>
      <c r="E27" s="72">
        <v>247</v>
      </c>
      <c r="F27" s="72">
        <v>284.95</v>
      </c>
      <c r="G27" s="72">
        <v>81.45</v>
      </c>
      <c r="H27" s="72">
        <v>96.5</v>
      </c>
      <c r="I27" s="35">
        <f>(H26+H27)/2</f>
        <v>146.44999999999999</v>
      </c>
      <c r="J27" s="35">
        <f>(H30+H23)/2</f>
        <v>102.325</v>
      </c>
      <c r="K27" s="27">
        <f>(H29+H24)/2</f>
        <v>172.47499999999999</v>
      </c>
      <c r="L27" s="27">
        <f>(H31+H22)/2</f>
        <v>200.25</v>
      </c>
      <c r="M27" s="27">
        <f>(H33+H21)/2</f>
        <v>233.07499999999999</v>
      </c>
      <c r="N27" s="27">
        <f>(H35+H19)/2</f>
        <v>266.60000000000002</v>
      </c>
      <c r="O27" s="27">
        <f>(H32+H20)/2</f>
        <v>84.125</v>
      </c>
      <c r="P27" s="38">
        <f>(H34+H18)/2</f>
        <v>69.275000000000006</v>
      </c>
      <c r="Q27" s="12">
        <f>(H27/4)</f>
        <v>24.125</v>
      </c>
      <c r="R27" s="12">
        <f t="shared" si="0"/>
        <v>86.85</v>
      </c>
      <c r="S27" s="12">
        <f t="shared" si="1"/>
        <v>9.6500000000000057</v>
      </c>
      <c r="T27" s="12">
        <f t="shared" si="2"/>
        <v>95.534999999999997</v>
      </c>
      <c r="U27" s="12">
        <f t="shared" si="3"/>
        <v>0.96500000000000341</v>
      </c>
      <c r="V27" s="41">
        <v>26</v>
      </c>
      <c r="Y27" s="104">
        <f t="shared" si="5"/>
        <v>23550</v>
      </c>
      <c r="Z27">
        <f>H27</f>
        <v>96.5</v>
      </c>
      <c r="AA27" s="12"/>
      <c r="AB27" s="12"/>
      <c r="AC27" s="111">
        <f t="shared" si="6"/>
        <v>102.325</v>
      </c>
      <c r="AD27" s="14">
        <f>(H25+H28)/2</f>
        <v>122.675</v>
      </c>
      <c r="AE27" s="13">
        <f t="shared" si="7"/>
        <v>146.44999999999999</v>
      </c>
      <c r="AF27" s="114">
        <f t="shared" si="17"/>
        <v>172.47499999999999</v>
      </c>
      <c r="AG27" s="115">
        <f t="shared" si="17"/>
        <v>200.25</v>
      </c>
      <c r="AH27" s="116">
        <f t="shared" si="17"/>
        <v>233.07499999999999</v>
      </c>
      <c r="AI27" s="117">
        <f t="shared" si="17"/>
        <v>266.60000000000002</v>
      </c>
      <c r="AM27" s="122"/>
      <c r="AN27" s="122"/>
      <c r="AO27" s="128"/>
      <c r="AP27" s="125"/>
      <c r="AQ27" s="123"/>
      <c r="AR27" s="126"/>
      <c r="AS27" s="126"/>
    </row>
    <row r="28" spans="1:45" ht="28.2" thickBot="1">
      <c r="A28" s="72" t="s">
        <v>0</v>
      </c>
      <c r="B28" s="73">
        <v>46189</v>
      </c>
      <c r="C28" s="72" t="s">
        <v>1</v>
      </c>
      <c r="D28" s="74">
        <v>23600</v>
      </c>
      <c r="E28" s="72">
        <v>70.099999999999994</v>
      </c>
      <c r="F28" s="72">
        <v>191.6</v>
      </c>
      <c r="G28" s="72">
        <v>31.9</v>
      </c>
      <c r="H28" s="72">
        <v>166.5</v>
      </c>
      <c r="I28" s="35">
        <f>(H28+H29)/2</f>
        <v>141.27500000000001</v>
      </c>
      <c r="J28" s="35">
        <f>(H32+H25)/2</f>
        <v>97.375</v>
      </c>
      <c r="K28" s="27">
        <f>(H31+H26)/2</f>
        <v>166.72500000000002</v>
      </c>
      <c r="L28" s="27">
        <f>(H33+H24)/2</f>
        <v>196.17500000000001</v>
      </c>
      <c r="M28" s="27">
        <f>(H35+H22)/2</f>
        <v>227.67500000000001</v>
      </c>
      <c r="N28" s="27">
        <f>(H37+H21)/2</f>
        <v>263.32499999999999</v>
      </c>
      <c r="O28" s="27">
        <f>(H34+H23)/2</f>
        <v>79.575000000000003</v>
      </c>
      <c r="P28" s="38">
        <f>(H36+H20)/2</f>
        <v>64.599999999999994</v>
      </c>
      <c r="Q28" s="12">
        <f>(H28)/4</f>
        <v>41.625</v>
      </c>
      <c r="R28" s="12">
        <f t="shared" si="0"/>
        <v>149.85</v>
      </c>
      <c r="S28" s="12">
        <f t="shared" si="1"/>
        <v>16.650000000000006</v>
      </c>
      <c r="T28" s="12">
        <f t="shared" si="2"/>
        <v>164.83500000000001</v>
      </c>
      <c r="U28" s="12">
        <f t="shared" si="3"/>
        <v>1.664999999999992</v>
      </c>
      <c r="V28" s="41">
        <v>27</v>
      </c>
      <c r="X28">
        <f>H28</f>
        <v>166.5</v>
      </c>
      <c r="Y28" s="104">
        <f t="shared" si="5"/>
        <v>23600</v>
      </c>
      <c r="AA28" s="12"/>
      <c r="AB28" s="12"/>
      <c r="AC28" s="111">
        <f t="shared" si="6"/>
        <v>97.375</v>
      </c>
      <c r="AD28" s="14">
        <f>(H27+H30)/2</f>
        <v>118.575</v>
      </c>
      <c r="AE28" s="13">
        <f t="shared" si="7"/>
        <v>141.27500000000001</v>
      </c>
      <c r="AF28" s="114">
        <f t="shared" si="17"/>
        <v>166.72500000000002</v>
      </c>
      <c r="AG28" s="115">
        <f t="shared" si="17"/>
        <v>196.17500000000001</v>
      </c>
      <c r="AH28" s="116">
        <f t="shared" si="17"/>
        <v>227.67500000000001</v>
      </c>
      <c r="AI28" s="117">
        <f t="shared" si="17"/>
        <v>263.32499999999999</v>
      </c>
      <c r="AM28" s="122"/>
      <c r="AN28" s="122"/>
      <c r="AO28" s="128"/>
      <c r="AP28" s="125"/>
      <c r="AQ28" s="123"/>
      <c r="AR28" s="126"/>
      <c r="AS28" s="126"/>
    </row>
    <row r="29" spans="1:45" ht="28.2" thickBot="1">
      <c r="A29" s="72" t="s">
        <v>0</v>
      </c>
      <c r="B29" s="73">
        <v>46189</v>
      </c>
      <c r="C29" s="72" t="s">
        <v>20</v>
      </c>
      <c r="D29" s="74">
        <v>23600</v>
      </c>
      <c r="E29" s="72">
        <v>284</v>
      </c>
      <c r="F29" s="72">
        <v>323.89999999999998</v>
      </c>
      <c r="G29" s="72">
        <v>99</v>
      </c>
      <c r="H29" s="72">
        <v>116.05</v>
      </c>
      <c r="I29" s="35">
        <f>(H28+H29)/2</f>
        <v>141.27500000000001</v>
      </c>
      <c r="J29" s="35">
        <f>(H32+H25)/2</f>
        <v>97.375</v>
      </c>
      <c r="K29" s="27">
        <f>(H31+H26)/2</f>
        <v>166.72500000000002</v>
      </c>
      <c r="L29" s="27">
        <f>(H33+H24)/2</f>
        <v>196.17500000000001</v>
      </c>
      <c r="M29" s="27">
        <f>(H35+H22)/2</f>
        <v>227.67500000000001</v>
      </c>
      <c r="N29" s="27">
        <f>(H37+H21)/2</f>
        <v>263.32499999999999</v>
      </c>
      <c r="O29" s="27">
        <f>(H34+H23)/2</f>
        <v>79.575000000000003</v>
      </c>
      <c r="P29" s="38">
        <f>(H36+H20)/2</f>
        <v>64.599999999999994</v>
      </c>
      <c r="Q29" s="12">
        <f>(H29/4)</f>
        <v>29.012499999999999</v>
      </c>
      <c r="R29" s="12">
        <f t="shared" si="0"/>
        <v>104.44499999999999</v>
      </c>
      <c r="S29" s="12">
        <f t="shared" si="1"/>
        <v>11.605000000000004</v>
      </c>
      <c r="T29" s="12">
        <f t="shared" si="2"/>
        <v>114.88949999999998</v>
      </c>
      <c r="U29" s="12">
        <f t="shared" si="3"/>
        <v>1.1605000000000132</v>
      </c>
      <c r="V29" s="41">
        <v>28</v>
      </c>
      <c r="Y29" s="104">
        <f t="shared" si="5"/>
        <v>23600</v>
      </c>
      <c r="Z29">
        <f>H29</f>
        <v>116.05</v>
      </c>
      <c r="AA29" s="12"/>
      <c r="AB29" s="12"/>
      <c r="AC29" s="111">
        <f t="shared" si="6"/>
        <v>97.375</v>
      </c>
      <c r="AD29" s="14">
        <f>(H27+H30)/2</f>
        <v>118.575</v>
      </c>
      <c r="AE29" s="13">
        <f t="shared" si="7"/>
        <v>141.27500000000001</v>
      </c>
      <c r="AF29" s="114">
        <f t="shared" si="17"/>
        <v>166.72500000000002</v>
      </c>
      <c r="AG29" s="115">
        <f t="shared" si="17"/>
        <v>196.17500000000001</v>
      </c>
      <c r="AH29" s="116">
        <f t="shared" si="17"/>
        <v>227.67500000000001</v>
      </c>
      <c r="AI29" s="117">
        <f t="shared" si="17"/>
        <v>263.32499999999999</v>
      </c>
      <c r="AM29" s="122"/>
      <c r="AN29" s="122"/>
      <c r="AO29" s="128"/>
      <c r="AP29" s="125"/>
      <c r="AQ29" s="123"/>
      <c r="AR29" s="126"/>
      <c r="AS29" s="126"/>
    </row>
    <row r="30" spans="1:45" ht="28.2" thickBot="1">
      <c r="A30" s="72" t="s">
        <v>0</v>
      </c>
      <c r="B30" s="73">
        <v>46189</v>
      </c>
      <c r="C30" s="72" t="s">
        <v>1</v>
      </c>
      <c r="D30" s="74">
        <v>23650</v>
      </c>
      <c r="E30" s="72">
        <v>42</v>
      </c>
      <c r="F30" s="72">
        <v>164</v>
      </c>
      <c r="G30" s="72">
        <v>23.9</v>
      </c>
      <c r="H30" s="72">
        <v>140.65</v>
      </c>
      <c r="I30" s="35">
        <f>(H30+H31)/2</f>
        <v>138.85000000000002</v>
      </c>
      <c r="J30" s="35">
        <f>(H34+H27)/2</f>
        <v>95.825000000000003</v>
      </c>
      <c r="K30" s="27">
        <f>(H33+H28)/2</f>
        <v>164.97499999999999</v>
      </c>
      <c r="L30" s="27">
        <f>(H35+H26)/2</f>
        <v>194.15</v>
      </c>
      <c r="M30" s="27">
        <f>(H37+H24)/2</f>
        <v>226.42500000000001</v>
      </c>
      <c r="N30" s="27"/>
      <c r="O30" s="27">
        <f>(H36+H25)/2</f>
        <v>77.849999999999994</v>
      </c>
      <c r="P30" s="38"/>
      <c r="Q30" s="12">
        <f>(H30)/4</f>
        <v>35.162500000000001</v>
      </c>
      <c r="R30" s="12">
        <f t="shared" si="0"/>
        <v>126.58500000000001</v>
      </c>
      <c r="S30" s="12">
        <f t="shared" si="1"/>
        <v>14.064999999999998</v>
      </c>
      <c r="T30" s="12">
        <f t="shared" si="2"/>
        <v>139.24350000000001</v>
      </c>
      <c r="U30" s="12">
        <f t="shared" si="3"/>
        <v>1.4064999999999941</v>
      </c>
      <c r="V30" s="41">
        <v>29</v>
      </c>
      <c r="X30">
        <f>H30</f>
        <v>140.65</v>
      </c>
      <c r="Y30" s="104">
        <f t="shared" si="5"/>
        <v>23650</v>
      </c>
      <c r="AA30" s="12"/>
      <c r="AB30" s="12"/>
      <c r="AC30" s="111">
        <f t="shared" si="6"/>
        <v>95.825000000000003</v>
      </c>
      <c r="AD30" s="14">
        <f>(H29+H32)/2</f>
        <v>115.97499999999999</v>
      </c>
      <c r="AE30" s="13">
        <f t="shared" si="7"/>
        <v>138.85000000000002</v>
      </c>
      <c r="AF30" s="114">
        <f t="shared" si="17"/>
        <v>164.97499999999999</v>
      </c>
      <c r="AG30" s="115">
        <f t="shared" si="17"/>
        <v>194.15</v>
      </c>
      <c r="AH30" s="116">
        <f t="shared" si="17"/>
        <v>226.42500000000001</v>
      </c>
      <c r="AI30" s="117">
        <f t="shared" si="17"/>
        <v>0</v>
      </c>
      <c r="AM30" s="122"/>
      <c r="AN30" s="122"/>
      <c r="AO30" s="128"/>
      <c r="AP30" s="125"/>
      <c r="AQ30" s="123"/>
      <c r="AR30" s="126"/>
      <c r="AS30" s="126"/>
    </row>
    <row r="31" spans="1:45" ht="28.2" thickBot="1">
      <c r="A31" s="72" t="s">
        <v>0</v>
      </c>
      <c r="B31" s="73">
        <v>46189</v>
      </c>
      <c r="C31" s="72" t="s">
        <v>20</v>
      </c>
      <c r="D31" s="74">
        <v>23650</v>
      </c>
      <c r="E31" s="72">
        <v>348.9</v>
      </c>
      <c r="F31" s="72">
        <v>365.85</v>
      </c>
      <c r="G31" s="72">
        <v>120.45</v>
      </c>
      <c r="H31" s="72">
        <v>137.05000000000001</v>
      </c>
      <c r="I31" s="35">
        <f>(H30+H31)/2</f>
        <v>138.85000000000002</v>
      </c>
      <c r="J31" s="36">
        <f>(H34+H27)/2</f>
        <v>95.825000000000003</v>
      </c>
      <c r="K31" s="29">
        <f>(H33+H28)/2</f>
        <v>164.97499999999999</v>
      </c>
      <c r="L31" s="29">
        <f>(H35+H26)/2</f>
        <v>194.15</v>
      </c>
      <c r="M31" s="29">
        <f>(H37+H24)/2</f>
        <v>226.42500000000001</v>
      </c>
      <c r="N31" s="29"/>
      <c r="O31" s="29">
        <f>(H36+H25)/2</f>
        <v>77.849999999999994</v>
      </c>
      <c r="P31" s="39"/>
      <c r="Q31" s="12">
        <f>(H31/4)</f>
        <v>34.262500000000003</v>
      </c>
      <c r="R31" s="12">
        <f t="shared" si="0"/>
        <v>123.345</v>
      </c>
      <c r="S31" s="12">
        <f t="shared" si="1"/>
        <v>13.705000000000013</v>
      </c>
      <c r="T31" s="12">
        <f t="shared" si="2"/>
        <v>135.67950000000002</v>
      </c>
      <c r="U31" s="12">
        <f t="shared" si="3"/>
        <v>1.3704999999999927</v>
      </c>
      <c r="V31" s="41">
        <v>30</v>
      </c>
      <c r="Y31" s="104">
        <f t="shared" si="5"/>
        <v>23650</v>
      </c>
      <c r="Z31">
        <f>H31</f>
        <v>137.05000000000001</v>
      </c>
      <c r="AA31" s="12"/>
      <c r="AB31" s="12"/>
      <c r="AC31" s="111">
        <f t="shared" si="6"/>
        <v>95.825000000000003</v>
      </c>
      <c r="AD31" s="14">
        <f>(H29+H32)/2</f>
        <v>115.97499999999999</v>
      </c>
      <c r="AE31" s="13">
        <f t="shared" si="7"/>
        <v>138.85000000000002</v>
      </c>
      <c r="AF31" s="114">
        <f t="shared" si="17"/>
        <v>164.97499999999999</v>
      </c>
      <c r="AG31" s="115">
        <f t="shared" si="17"/>
        <v>194.15</v>
      </c>
      <c r="AH31" s="116">
        <f t="shared" si="17"/>
        <v>226.42500000000001</v>
      </c>
      <c r="AI31" s="117">
        <f t="shared" si="17"/>
        <v>0</v>
      </c>
      <c r="AM31" s="122"/>
      <c r="AN31" s="122"/>
      <c r="AO31" s="128"/>
      <c r="AP31" s="125"/>
      <c r="AQ31" s="123"/>
      <c r="AR31" s="126"/>
      <c r="AS31" s="126"/>
    </row>
    <row r="32" spans="1:45" ht="28.2" thickBot="1">
      <c r="A32" s="72" t="s">
        <v>0</v>
      </c>
      <c r="B32" s="73">
        <v>46189</v>
      </c>
      <c r="C32" s="72" t="s">
        <v>1</v>
      </c>
      <c r="D32" s="74">
        <v>23700</v>
      </c>
      <c r="E32" s="72">
        <v>39</v>
      </c>
      <c r="F32" s="72">
        <v>136</v>
      </c>
      <c r="G32" s="72">
        <v>17.649999999999999</v>
      </c>
      <c r="H32" s="72">
        <v>115.9</v>
      </c>
      <c r="I32" s="43">
        <f>(H32+H33)/2</f>
        <v>139.67500000000001</v>
      </c>
      <c r="Q32" s="12">
        <f>(H32)/4</f>
        <v>28.975000000000001</v>
      </c>
      <c r="R32" s="12">
        <f t="shared" si="0"/>
        <v>104.31</v>
      </c>
      <c r="S32" s="12">
        <f t="shared" si="1"/>
        <v>11.590000000000003</v>
      </c>
      <c r="T32" s="12">
        <f t="shared" si="2"/>
        <v>114.741</v>
      </c>
      <c r="U32" s="12">
        <f t="shared" si="3"/>
        <v>1.159000000000006</v>
      </c>
      <c r="V32" s="41">
        <v>31</v>
      </c>
      <c r="AM32" s="122"/>
      <c r="AN32" s="122"/>
      <c r="AO32" s="128"/>
      <c r="AP32" s="125"/>
      <c r="AQ32" s="123"/>
      <c r="AR32" s="126"/>
      <c r="AS32" s="126"/>
    </row>
    <row r="33" spans="1:45" ht="21" customHeight="1" thickBot="1">
      <c r="A33" s="72" t="s">
        <v>0</v>
      </c>
      <c r="B33" s="73">
        <v>46189</v>
      </c>
      <c r="C33" s="72" t="s">
        <v>20</v>
      </c>
      <c r="D33" s="74">
        <v>23700</v>
      </c>
      <c r="E33" s="72">
        <v>342</v>
      </c>
      <c r="F33" s="72">
        <v>409.8</v>
      </c>
      <c r="G33" s="72">
        <v>144.6</v>
      </c>
      <c r="H33" s="72">
        <v>163.44999999999999</v>
      </c>
      <c r="I33" s="43">
        <f>(H32+H33)/2</f>
        <v>139.67500000000001</v>
      </c>
      <c r="Q33" s="12">
        <f>(H33/4)</f>
        <v>40.862499999999997</v>
      </c>
      <c r="R33" s="12">
        <f t="shared" si="0"/>
        <v>147.10499999999999</v>
      </c>
      <c r="S33" s="12">
        <f t="shared" si="1"/>
        <v>16.344999999999999</v>
      </c>
      <c r="T33" s="12">
        <f t="shared" si="2"/>
        <v>161.81549999999999</v>
      </c>
      <c r="U33" s="12">
        <f t="shared" si="3"/>
        <v>1.6345000000000027</v>
      </c>
      <c r="V33" s="41">
        <v>32</v>
      </c>
      <c r="AM33" s="122"/>
      <c r="AN33" s="122"/>
      <c r="AO33" s="128"/>
      <c r="AP33" s="125"/>
      <c r="AQ33" s="123"/>
      <c r="AR33" s="126"/>
      <c r="AS33" s="126"/>
    </row>
    <row r="34" spans="1:45" ht="21" customHeight="1" thickBot="1">
      <c r="A34" s="72" t="s">
        <v>0</v>
      </c>
      <c r="B34" s="73">
        <v>46189</v>
      </c>
      <c r="C34" s="72" t="s">
        <v>1</v>
      </c>
      <c r="D34" s="74">
        <v>23750</v>
      </c>
      <c r="E34" s="72">
        <v>25</v>
      </c>
      <c r="F34" s="72">
        <v>113.05</v>
      </c>
      <c r="G34" s="72">
        <v>13.35</v>
      </c>
      <c r="H34" s="72">
        <v>95.15</v>
      </c>
      <c r="I34" s="43">
        <f>(H34+H35)/2</f>
        <v>143.52500000000001</v>
      </c>
      <c r="Q34" s="12">
        <f>(H34)/4</f>
        <v>23.787500000000001</v>
      </c>
      <c r="R34" s="12">
        <f t="shared" si="0"/>
        <v>85.635000000000005</v>
      </c>
      <c r="S34" s="12">
        <f t="shared" si="1"/>
        <v>9.5150000000000006</v>
      </c>
      <c r="T34" s="12">
        <f t="shared" si="2"/>
        <v>94.198499999999996</v>
      </c>
      <c r="U34" s="12">
        <f t="shared" si="3"/>
        <v>0.95150000000001</v>
      </c>
      <c r="V34" s="41">
        <v>33</v>
      </c>
      <c r="AM34" s="122"/>
      <c r="AN34" s="122"/>
      <c r="AO34" s="128"/>
      <c r="AP34" s="125"/>
      <c r="AQ34" s="123"/>
      <c r="AR34" s="126"/>
      <c r="AS34" s="126"/>
    </row>
    <row r="35" spans="1:45" ht="21" customHeight="1" thickBot="1">
      <c r="A35" s="72" t="s">
        <v>0</v>
      </c>
      <c r="B35" s="73">
        <v>46189</v>
      </c>
      <c r="C35" s="72" t="s">
        <v>20</v>
      </c>
      <c r="D35" s="74">
        <v>23750</v>
      </c>
      <c r="E35" s="72">
        <v>367.9</v>
      </c>
      <c r="F35" s="72">
        <v>452.4</v>
      </c>
      <c r="G35" s="72">
        <v>172.75</v>
      </c>
      <c r="H35" s="72">
        <v>191.9</v>
      </c>
      <c r="I35" s="43">
        <f>(H34+H35)/2</f>
        <v>143.52500000000001</v>
      </c>
      <c r="Q35" s="12">
        <f>(H35/4)</f>
        <v>47.975000000000001</v>
      </c>
      <c r="R35" s="12">
        <f t="shared" si="0"/>
        <v>172.71</v>
      </c>
      <c r="S35" s="12">
        <f t="shared" si="1"/>
        <v>19.189999999999998</v>
      </c>
      <c r="T35" s="12">
        <f t="shared" si="2"/>
        <v>189.98099999999999</v>
      </c>
      <c r="U35" s="12">
        <f t="shared" si="3"/>
        <v>1.9190000000000111</v>
      </c>
      <c r="V35" s="41">
        <v>34</v>
      </c>
      <c r="AM35" s="122"/>
      <c r="AN35" s="122"/>
      <c r="AO35" s="128"/>
      <c r="AP35" s="125"/>
      <c r="AQ35" s="123"/>
      <c r="AR35" s="126"/>
      <c r="AS35" s="126"/>
    </row>
    <row r="36" spans="1:45" ht="21" customHeight="1" thickBot="1">
      <c r="A36" s="72" t="s">
        <v>0</v>
      </c>
      <c r="B36" s="73">
        <v>46189</v>
      </c>
      <c r="C36" s="72" t="s">
        <v>1</v>
      </c>
      <c r="D36" s="74">
        <v>23800</v>
      </c>
      <c r="E36" s="72">
        <v>19.899999999999999</v>
      </c>
      <c r="F36" s="72">
        <v>92.65</v>
      </c>
      <c r="G36" s="72">
        <v>10.15</v>
      </c>
      <c r="H36" s="72">
        <v>76.849999999999994</v>
      </c>
      <c r="I36" s="43">
        <f>(H36+H37)/2</f>
        <v>150.39999999999998</v>
      </c>
      <c r="Q36" s="12">
        <f>(H36)/4</f>
        <v>19.212499999999999</v>
      </c>
      <c r="R36" s="12">
        <f t="shared" si="0"/>
        <v>69.164999999999992</v>
      </c>
      <c r="S36" s="12">
        <f t="shared" si="1"/>
        <v>7.6850000000000023</v>
      </c>
      <c r="T36" s="12">
        <f t="shared" si="2"/>
        <v>76.081499999999991</v>
      </c>
      <c r="U36" s="12">
        <f t="shared" si="3"/>
        <v>0.76850000000000307</v>
      </c>
      <c r="V36" s="41">
        <v>35</v>
      </c>
      <c r="AM36" s="122"/>
      <c r="AN36" s="122"/>
      <c r="AO36" s="128"/>
      <c r="AP36" s="125"/>
      <c r="AQ36" s="123"/>
      <c r="AR36" s="126"/>
      <c r="AS36" s="126"/>
    </row>
    <row r="37" spans="1:45" ht="21" customHeight="1" thickBot="1">
      <c r="A37" s="72" t="s">
        <v>0</v>
      </c>
      <c r="B37" s="73">
        <v>46189</v>
      </c>
      <c r="C37" s="72" t="s">
        <v>20</v>
      </c>
      <c r="D37" s="74">
        <v>23800</v>
      </c>
      <c r="E37" s="72">
        <v>411.25</v>
      </c>
      <c r="F37" s="72">
        <v>500</v>
      </c>
      <c r="G37" s="72">
        <v>200.55</v>
      </c>
      <c r="H37" s="72">
        <v>223.95</v>
      </c>
      <c r="I37" s="43">
        <f>(H36+H37)/2</f>
        <v>150.39999999999998</v>
      </c>
      <c r="Q37" s="12">
        <f>(H37/4)</f>
        <v>55.987499999999997</v>
      </c>
      <c r="R37" s="12">
        <f t="shared" si="0"/>
        <v>201.55500000000001</v>
      </c>
      <c r="S37" s="12">
        <f t="shared" si="1"/>
        <v>22.394999999999982</v>
      </c>
      <c r="T37" s="12">
        <f t="shared" si="2"/>
        <v>221.7105</v>
      </c>
      <c r="U37" s="12">
        <f t="shared" si="3"/>
        <v>2.2394999999999925</v>
      </c>
      <c r="V37" s="41">
        <v>36</v>
      </c>
    </row>
  </sheetData>
  <autoFilter ref="C1:P1" xr:uid="{00000000-0009-0000-0000-000004000000}">
    <sortState xmlns:xlrd2="http://schemas.microsoft.com/office/spreadsheetml/2017/richdata2" ref="C2:P143">
      <sortCondition ref="F1"/>
    </sortState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4:S273"/>
  <sheetViews>
    <sheetView topLeftCell="A85" workbookViewId="0">
      <selection activeCell="D77" sqref="D77:K92"/>
    </sheetView>
  </sheetViews>
  <sheetFormatPr defaultRowHeight="14.4"/>
  <cols>
    <col min="3" max="3" width="9.109375" customWidth="1"/>
    <col min="5" max="5" width="13.44140625" customWidth="1"/>
    <col min="7" max="7" width="12.109375" customWidth="1"/>
    <col min="8" max="8" width="9.109375" style="85"/>
    <col min="11" max="12" width="9.109375" style="85"/>
  </cols>
  <sheetData>
    <row r="4" spans="3:18">
      <c r="D4" s="55" t="s">
        <v>2</v>
      </c>
      <c r="E4" s="55" t="s">
        <v>4</v>
      </c>
      <c r="F4" s="55" t="s">
        <v>6</v>
      </c>
      <c r="G4" s="55" t="s">
        <v>7</v>
      </c>
      <c r="H4" s="87" t="s">
        <v>8</v>
      </c>
      <c r="I4" s="55" t="s">
        <v>9</v>
      </c>
      <c r="J4" s="55" t="s">
        <v>10</v>
      </c>
      <c r="K4" s="87" t="s">
        <v>8</v>
      </c>
      <c r="L4" s="87" t="s">
        <v>12</v>
      </c>
      <c r="M4" s="55" t="s">
        <v>13</v>
      </c>
      <c r="N4" s="55" t="s">
        <v>14</v>
      </c>
      <c r="O4" s="55" t="s">
        <v>15</v>
      </c>
      <c r="P4" s="55" t="s">
        <v>16</v>
      </c>
      <c r="Q4" s="55" t="s">
        <v>18</v>
      </c>
      <c r="R4" s="55" t="s">
        <v>34</v>
      </c>
    </row>
    <row r="5" spans="3:18" ht="42" thickBot="1">
      <c r="C5" s="72"/>
      <c r="D5" s="72" t="s">
        <v>0</v>
      </c>
      <c r="E5" s="73">
        <v>46238</v>
      </c>
      <c r="F5" s="72" t="s">
        <v>20</v>
      </c>
      <c r="G5" s="74">
        <v>21600</v>
      </c>
      <c r="H5" s="72">
        <v>1.45</v>
      </c>
      <c r="I5" s="72">
        <v>1.45</v>
      </c>
      <c r="J5" s="72">
        <v>1.1000000000000001</v>
      </c>
      <c r="K5" s="72" t="s">
        <v>47</v>
      </c>
      <c r="L5" s="72">
        <v>1.6</v>
      </c>
      <c r="M5" s="75">
        <v>1.25</v>
      </c>
      <c r="N5" s="72">
        <v>-0.35</v>
      </c>
      <c r="O5" s="72">
        <v>-21.88</v>
      </c>
      <c r="P5" s="76">
        <v>16000</v>
      </c>
      <c r="Q5" s="72">
        <v>12.69</v>
      </c>
      <c r="R5" s="57"/>
    </row>
    <row r="6" spans="3:18" ht="42" thickBot="1">
      <c r="C6" s="72"/>
      <c r="D6" s="72" t="s">
        <v>0</v>
      </c>
      <c r="E6" s="73">
        <v>46238</v>
      </c>
      <c r="F6" s="72" t="s">
        <v>20</v>
      </c>
      <c r="G6" s="74">
        <v>21650</v>
      </c>
      <c r="H6" s="72">
        <v>1.4</v>
      </c>
      <c r="I6" s="72">
        <v>1.45</v>
      </c>
      <c r="J6" s="72">
        <v>1.1499999999999999</v>
      </c>
      <c r="K6" s="72" t="s">
        <v>47</v>
      </c>
      <c r="L6" s="72">
        <v>1.55</v>
      </c>
      <c r="M6" s="75">
        <v>1.25</v>
      </c>
      <c r="N6" s="72">
        <v>-0.3</v>
      </c>
      <c r="O6" s="72">
        <v>-19.350000000000001</v>
      </c>
      <c r="P6" s="72">
        <v>440</v>
      </c>
      <c r="Q6" s="72">
        <v>0.36</v>
      </c>
      <c r="R6" s="77"/>
    </row>
    <row r="7" spans="3:18" ht="42" thickBot="1">
      <c r="C7" s="72"/>
      <c r="D7" s="72" t="s">
        <v>0</v>
      </c>
      <c r="E7" s="73">
        <v>46238</v>
      </c>
      <c r="F7" s="72" t="s">
        <v>20</v>
      </c>
      <c r="G7" s="74">
        <v>21700</v>
      </c>
      <c r="H7" s="72">
        <v>1.1000000000000001</v>
      </c>
      <c r="I7" s="72">
        <v>1.5</v>
      </c>
      <c r="J7" s="72">
        <v>1.1000000000000001</v>
      </c>
      <c r="K7" s="72" t="s">
        <v>47</v>
      </c>
      <c r="L7" s="72">
        <v>1.65</v>
      </c>
      <c r="M7" s="75">
        <v>1.3</v>
      </c>
      <c r="N7" s="72">
        <v>-0.35</v>
      </c>
      <c r="O7" s="72">
        <v>-21.21</v>
      </c>
      <c r="P7" s="76">
        <v>2687</v>
      </c>
      <c r="Q7" s="72">
        <v>2.1</v>
      </c>
      <c r="R7" s="77"/>
    </row>
    <row r="8" spans="3:18" ht="42" thickBot="1">
      <c r="C8" s="72"/>
      <c r="D8" s="72" t="s">
        <v>0</v>
      </c>
      <c r="E8" s="73">
        <v>46238</v>
      </c>
      <c r="F8" s="72" t="s">
        <v>20</v>
      </c>
      <c r="G8" s="74">
        <v>21750</v>
      </c>
      <c r="H8" s="72">
        <v>1.2</v>
      </c>
      <c r="I8" s="72">
        <v>1.6</v>
      </c>
      <c r="J8" s="72">
        <v>1.1499999999999999</v>
      </c>
      <c r="K8" s="72" t="s">
        <v>47</v>
      </c>
      <c r="L8" s="72">
        <v>1.5</v>
      </c>
      <c r="M8" s="75">
        <v>1.4</v>
      </c>
      <c r="N8" s="72">
        <v>-0.1</v>
      </c>
      <c r="O8" s="72">
        <v>-6.67</v>
      </c>
      <c r="P8" s="72">
        <v>349</v>
      </c>
      <c r="Q8" s="72">
        <v>0.31</v>
      </c>
      <c r="R8" s="77"/>
    </row>
    <row r="9" spans="3:18" ht="42" thickBot="1">
      <c r="C9" s="72"/>
      <c r="D9" s="72" t="s">
        <v>0</v>
      </c>
      <c r="E9" s="73">
        <v>46238</v>
      </c>
      <c r="F9" s="72" t="s">
        <v>20</v>
      </c>
      <c r="G9" s="74">
        <v>21800</v>
      </c>
      <c r="H9" s="72">
        <v>1.25</v>
      </c>
      <c r="I9" s="72">
        <v>1.6</v>
      </c>
      <c r="J9" s="72">
        <v>1.2</v>
      </c>
      <c r="K9" s="72" t="s">
        <v>47</v>
      </c>
      <c r="L9" s="72">
        <v>1.8</v>
      </c>
      <c r="M9" s="75">
        <v>1.4</v>
      </c>
      <c r="N9" s="72">
        <v>-0.4</v>
      </c>
      <c r="O9" s="72">
        <v>-22.22</v>
      </c>
      <c r="P9" s="76">
        <v>5665</v>
      </c>
      <c r="Q9" s="72">
        <v>4.9000000000000004</v>
      </c>
      <c r="R9" s="77"/>
    </row>
    <row r="10" spans="3:18" ht="42" thickBot="1">
      <c r="C10" s="72"/>
      <c r="D10" s="72" t="s">
        <v>0</v>
      </c>
      <c r="E10" s="73">
        <v>46238</v>
      </c>
      <c r="F10" s="72" t="s">
        <v>20</v>
      </c>
      <c r="G10" s="74">
        <v>21850</v>
      </c>
      <c r="H10" s="72">
        <v>1.9</v>
      </c>
      <c r="I10" s="72">
        <v>1.9</v>
      </c>
      <c r="J10" s="72">
        <v>1.2</v>
      </c>
      <c r="K10" s="72" t="s">
        <v>47</v>
      </c>
      <c r="L10" s="72">
        <v>1.75</v>
      </c>
      <c r="M10" s="75">
        <v>1.3</v>
      </c>
      <c r="N10" s="72">
        <v>-0.45</v>
      </c>
      <c r="O10" s="72">
        <v>-25.71</v>
      </c>
      <c r="P10" s="72">
        <v>479</v>
      </c>
      <c r="Q10" s="72">
        <v>0.42</v>
      </c>
      <c r="R10" s="77"/>
    </row>
    <row r="11" spans="3:18" ht="42" thickBot="1">
      <c r="C11" s="72"/>
      <c r="D11" s="72" t="s">
        <v>0</v>
      </c>
      <c r="E11" s="73">
        <v>46238</v>
      </c>
      <c r="F11" s="72" t="s">
        <v>20</v>
      </c>
      <c r="G11" s="74">
        <v>21900</v>
      </c>
      <c r="H11" s="72">
        <v>1.3</v>
      </c>
      <c r="I11" s="72">
        <v>1.6</v>
      </c>
      <c r="J11" s="72">
        <v>1.25</v>
      </c>
      <c r="K11" s="72" t="s">
        <v>47</v>
      </c>
      <c r="L11" s="72">
        <v>1.8</v>
      </c>
      <c r="M11" s="75">
        <v>1.45</v>
      </c>
      <c r="N11" s="72">
        <v>-0.35</v>
      </c>
      <c r="O11" s="72">
        <v>-19.440000000000001</v>
      </c>
      <c r="P11" s="76">
        <v>3461</v>
      </c>
      <c r="Q11" s="72">
        <v>3.04</v>
      </c>
      <c r="R11" s="77"/>
    </row>
    <row r="12" spans="3:18" ht="42" thickBot="1">
      <c r="C12" s="72"/>
      <c r="D12" s="72" t="s">
        <v>0</v>
      </c>
      <c r="E12" s="73">
        <v>46238</v>
      </c>
      <c r="F12" s="72" t="s">
        <v>20</v>
      </c>
      <c r="G12" s="74">
        <v>21950</v>
      </c>
      <c r="H12" s="72">
        <v>1.1499999999999999</v>
      </c>
      <c r="I12" s="72">
        <v>1.7</v>
      </c>
      <c r="J12" s="72">
        <v>1.1499999999999999</v>
      </c>
      <c r="K12" s="72" t="s">
        <v>47</v>
      </c>
      <c r="L12" s="72">
        <v>1.8</v>
      </c>
      <c r="M12" s="75">
        <v>1.3</v>
      </c>
      <c r="N12" s="72">
        <v>-0.5</v>
      </c>
      <c r="O12" s="72">
        <v>-27.78</v>
      </c>
      <c r="P12" s="72">
        <v>361</v>
      </c>
      <c r="Q12" s="72">
        <v>0.33</v>
      </c>
      <c r="R12" s="77"/>
    </row>
    <row r="13" spans="3:18" ht="42" thickBot="1">
      <c r="C13" s="72"/>
      <c r="D13" s="72" t="s">
        <v>0</v>
      </c>
      <c r="E13" s="73">
        <v>46238</v>
      </c>
      <c r="F13" s="72" t="s">
        <v>20</v>
      </c>
      <c r="G13" s="74">
        <v>22000</v>
      </c>
      <c r="H13" s="72">
        <v>1.3</v>
      </c>
      <c r="I13" s="72">
        <v>2.2999999999999998</v>
      </c>
      <c r="J13" s="72">
        <v>1.25</v>
      </c>
      <c r="K13" s="72" t="s">
        <v>47</v>
      </c>
      <c r="L13" s="72">
        <v>1.9</v>
      </c>
      <c r="M13" s="75">
        <v>1.5</v>
      </c>
      <c r="N13" s="72">
        <v>-0.4</v>
      </c>
      <c r="O13" s="72">
        <v>-21.05</v>
      </c>
      <c r="P13" s="76">
        <v>27308</v>
      </c>
      <c r="Q13" s="72">
        <v>25.03</v>
      </c>
      <c r="R13" s="77"/>
    </row>
    <row r="14" spans="3:18" ht="42" thickBot="1">
      <c r="C14" s="72"/>
      <c r="D14" s="72" t="s">
        <v>0</v>
      </c>
      <c r="E14" s="73">
        <v>46238</v>
      </c>
      <c r="F14" s="72" t="s">
        <v>1</v>
      </c>
      <c r="G14" s="74">
        <v>22000</v>
      </c>
      <c r="H14" s="74">
        <v>2175</v>
      </c>
      <c r="I14" s="74">
        <v>2216.3000000000002</v>
      </c>
      <c r="J14" s="74">
        <v>2155.1999999999998</v>
      </c>
      <c r="K14" s="72" t="s">
        <v>47</v>
      </c>
      <c r="L14" s="74">
        <v>2022.25</v>
      </c>
      <c r="M14" s="78">
        <v>2216.3000000000002</v>
      </c>
      <c r="N14" s="72">
        <v>194.05</v>
      </c>
      <c r="O14" s="72">
        <v>9.6</v>
      </c>
      <c r="P14" s="72">
        <v>29</v>
      </c>
      <c r="Q14" s="72">
        <v>41.21</v>
      </c>
      <c r="R14" s="77"/>
    </row>
    <row r="15" spans="3:18" ht="42" thickBot="1">
      <c r="C15" s="72"/>
      <c r="D15" s="72" t="s">
        <v>0</v>
      </c>
      <c r="E15" s="73">
        <v>46238</v>
      </c>
      <c r="F15" s="72" t="s">
        <v>20</v>
      </c>
      <c r="G15" s="74">
        <v>22050</v>
      </c>
      <c r="H15" s="72">
        <v>1.2</v>
      </c>
      <c r="I15" s="72">
        <v>1.8</v>
      </c>
      <c r="J15" s="72">
        <v>1.2</v>
      </c>
      <c r="K15" s="72" t="s">
        <v>47</v>
      </c>
      <c r="L15" s="72">
        <v>1.95</v>
      </c>
      <c r="M15" s="75">
        <v>1.5</v>
      </c>
      <c r="N15" s="72">
        <v>-0.45</v>
      </c>
      <c r="O15" s="72">
        <v>-23.08</v>
      </c>
      <c r="P15" s="76">
        <v>2258</v>
      </c>
      <c r="Q15" s="72">
        <v>2.3199999999999998</v>
      </c>
      <c r="R15" s="77"/>
    </row>
    <row r="16" spans="3:18" ht="42" thickBot="1">
      <c r="C16" s="72"/>
      <c r="D16" s="72" t="s">
        <v>0</v>
      </c>
      <c r="E16" s="73">
        <v>46238</v>
      </c>
      <c r="F16" s="72" t="s">
        <v>20</v>
      </c>
      <c r="G16" s="74">
        <v>22100</v>
      </c>
      <c r="H16" s="72">
        <v>1.8</v>
      </c>
      <c r="I16" s="72">
        <v>2</v>
      </c>
      <c r="J16" s="72">
        <v>1.3</v>
      </c>
      <c r="K16" s="72" t="s">
        <v>47</v>
      </c>
      <c r="L16" s="72">
        <v>1.95</v>
      </c>
      <c r="M16" s="75">
        <v>1.5</v>
      </c>
      <c r="N16" s="72">
        <v>-0.45</v>
      </c>
      <c r="O16" s="72">
        <v>-23.08</v>
      </c>
      <c r="P16" s="76">
        <v>5710</v>
      </c>
      <c r="Q16" s="72">
        <v>5.72</v>
      </c>
      <c r="R16" s="77"/>
    </row>
    <row r="17" spans="3:18" ht="42" thickBot="1">
      <c r="C17" s="72"/>
      <c r="D17" s="72" t="s">
        <v>0</v>
      </c>
      <c r="E17" s="73">
        <v>46238</v>
      </c>
      <c r="F17" s="72" t="s">
        <v>20</v>
      </c>
      <c r="G17" s="74">
        <v>22150</v>
      </c>
      <c r="H17" s="72">
        <v>1.35</v>
      </c>
      <c r="I17" s="72">
        <v>1.95</v>
      </c>
      <c r="J17" s="72">
        <v>1.3</v>
      </c>
      <c r="K17" s="72" t="s">
        <v>47</v>
      </c>
      <c r="L17" s="72">
        <v>1.9</v>
      </c>
      <c r="M17" s="75">
        <v>1.5</v>
      </c>
      <c r="N17" s="72">
        <v>-0.4</v>
      </c>
      <c r="O17" s="72">
        <v>-21.05</v>
      </c>
      <c r="P17" s="76">
        <v>1909</v>
      </c>
      <c r="Q17" s="72">
        <v>1.95</v>
      </c>
      <c r="R17" s="77"/>
    </row>
    <row r="18" spans="3:18" ht="42" thickBot="1">
      <c r="C18" s="72"/>
      <c r="D18" s="72" t="s">
        <v>0</v>
      </c>
      <c r="E18" s="73">
        <v>46238</v>
      </c>
      <c r="F18" s="72" t="s">
        <v>20</v>
      </c>
      <c r="G18" s="74">
        <v>22200</v>
      </c>
      <c r="H18" s="72">
        <v>1.85</v>
      </c>
      <c r="I18" s="72">
        <v>1.95</v>
      </c>
      <c r="J18" s="72">
        <v>1.35</v>
      </c>
      <c r="K18" s="72" t="s">
        <v>47</v>
      </c>
      <c r="L18" s="72">
        <v>1.95</v>
      </c>
      <c r="M18" s="75">
        <v>1.6</v>
      </c>
      <c r="N18" s="72">
        <v>-0.35</v>
      </c>
      <c r="O18" s="72">
        <v>-17.95</v>
      </c>
      <c r="P18" s="76">
        <v>9027</v>
      </c>
      <c r="Q18" s="72">
        <v>9.15</v>
      </c>
      <c r="R18" s="77"/>
    </row>
    <row r="19" spans="3:18" ht="42" thickBot="1">
      <c r="C19" s="72"/>
      <c r="D19" s="72" t="s">
        <v>0</v>
      </c>
      <c r="E19" s="73">
        <v>46238</v>
      </c>
      <c r="F19" s="72" t="s">
        <v>20</v>
      </c>
      <c r="G19" s="74">
        <v>22250</v>
      </c>
      <c r="H19" s="72">
        <v>2.15</v>
      </c>
      <c r="I19" s="72">
        <v>2.15</v>
      </c>
      <c r="J19" s="72">
        <v>1.35</v>
      </c>
      <c r="K19" s="72" t="s">
        <v>47</v>
      </c>
      <c r="L19" s="72">
        <v>2.1</v>
      </c>
      <c r="M19" s="75">
        <v>1.6</v>
      </c>
      <c r="N19" s="72">
        <v>-0.5</v>
      </c>
      <c r="O19" s="72">
        <v>-23.81</v>
      </c>
      <c r="P19" s="76">
        <v>11050</v>
      </c>
      <c r="Q19" s="72">
        <v>11.99</v>
      </c>
      <c r="R19" s="77"/>
    </row>
    <row r="20" spans="3:18" ht="42" thickBot="1">
      <c r="C20" s="72"/>
      <c r="D20" s="72" t="s">
        <v>0</v>
      </c>
      <c r="E20" s="73">
        <v>46238</v>
      </c>
      <c r="F20" s="72" t="s">
        <v>20</v>
      </c>
      <c r="G20" s="74">
        <v>22300</v>
      </c>
      <c r="H20" s="72">
        <v>1.85</v>
      </c>
      <c r="I20" s="72">
        <v>2.0499999999999998</v>
      </c>
      <c r="J20" s="72">
        <v>1.4</v>
      </c>
      <c r="K20" s="72" t="s">
        <v>47</v>
      </c>
      <c r="L20" s="72">
        <v>2.0499999999999998</v>
      </c>
      <c r="M20" s="75">
        <v>1.65</v>
      </c>
      <c r="N20" s="72">
        <v>-0.4</v>
      </c>
      <c r="O20" s="72">
        <v>-19.510000000000002</v>
      </c>
      <c r="P20" s="76">
        <v>13166</v>
      </c>
      <c r="Q20" s="72">
        <v>14.12</v>
      </c>
      <c r="R20" s="77"/>
    </row>
    <row r="21" spans="3:18" ht="42" thickBot="1">
      <c r="C21" s="72"/>
      <c r="D21" s="72" t="s">
        <v>0</v>
      </c>
      <c r="E21" s="73">
        <v>46238</v>
      </c>
      <c r="F21" s="72" t="s">
        <v>20</v>
      </c>
      <c r="G21" s="74">
        <v>22350</v>
      </c>
      <c r="H21" s="72">
        <v>2.15</v>
      </c>
      <c r="I21" s="72">
        <v>2.2999999999999998</v>
      </c>
      <c r="J21" s="72">
        <v>1.45</v>
      </c>
      <c r="K21" s="72" t="s">
        <v>47</v>
      </c>
      <c r="L21" s="72">
        <v>2.25</v>
      </c>
      <c r="M21" s="75">
        <v>1.65</v>
      </c>
      <c r="N21" s="72">
        <v>-0.6</v>
      </c>
      <c r="O21" s="72">
        <v>-26.67</v>
      </c>
      <c r="P21" s="76">
        <v>1654</v>
      </c>
      <c r="Q21" s="72">
        <v>1.96</v>
      </c>
      <c r="R21" s="77"/>
    </row>
    <row r="22" spans="3:18" ht="42" thickBot="1">
      <c r="C22" s="72"/>
      <c r="D22" s="72" t="s">
        <v>0</v>
      </c>
      <c r="E22" s="73">
        <v>46238</v>
      </c>
      <c r="F22" s="72" t="s">
        <v>20</v>
      </c>
      <c r="G22" s="74">
        <v>22400</v>
      </c>
      <c r="H22" s="72">
        <v>2.15</v>
      </c>
      <c r="I22" s="72">
        <v>2.2000000000000002</v>
      </c>
      <c r="J22" s="72">
        <v>1.5</v>
      </c>
      <c r="K22" s="72" t="s">
        <v>47</v>
      </c>
      <c r="L22" s="72">
        <v>2.25</v>
      </c>
      <c r="M22" s="75">
        <v>1.75</v>
      </c>
      <c r="N22" s="72">
        <v>-0.5</v>
      </c>
      <c r="O22" s="72">
        <v>-22.22</v>
      </c>
      <c r="P22" s="76">
        <v>8734</v>
      </c>
      <c r="Q22" s="72">
        <v>9.99</v>
      </c>
      <c r="R22" s="77"/>
    </row>
    <row r="23" spans="3:18" ht="42" thickBot="1">
      <c r="C23" s="72"/>
      <c r="D23" s="72" t="s">
        <v>0</v>
      </c>
      <c r="E23" s="73">
        <v>46238</v>
      </c>
      <c r="F23" s="72" t="s">
        <v>20</v>
      </c>
      <c r="G23" s="74">
        <v>22450</v>
      </c>
      <c r="H23" s="72">
        <v>2.4500000000000002</v>
      </c>
      <c r="I23" s="72">
        <v>2.4500000000000002</v>
      </c>
      <c r="J23" s="72">
        <v>1.55</v>
      </c>
      <c r="K23" s="72" t="s">
        <v>47</v>
      </c>
      <c r="L23" s="72">
        <v>2.4</v>
      </c>
      <c r="M23" s="75">
        <v>1.85</v>
      </c>
      <c r="N23" s="72">
        <v>-0.55000000000000004</v>
      </c>
      <c r="O23" s="72">
        <v>-22.92</v>
      </c>
      <c r="P23" s="76">
        <v>2397</v>
      </c>
      <c r="Q23" s="72">
        <v>2.76</v>
      </c>
      <c r="R23" s="77"/>
    </row>
    <row r="24" spans="3:18" ht="42" thickBot="1">
      <c r="C24" s="72"/>
      <c r="D24" s="72" t="s">
        <v>0</v>
      </c>
      <c r="E24" s="73">
        <v>46238</v>
      </c>
      <c r="F24" s="72" t="s">
        <v>20</v>
      </c>
      <c r="G24" s="74">
        <v>22500</v>
      </c>
      <c r="H24" s="72">
        <v>1.65</v>
      </c>
      <c r="I24" s="72">
        <v>2.4</v>
      </c>
      <c r="J24" s="72">
        <v>1.6</v>
      </c>
      <c r="K24" s="72" t="s">
        <v>47</v>
      </c>
      <c r="L24" s="72">
        <v>2.4</v>
      </c>
      <c r="M24" s="75">
        <v>1.85</v>
      </c>
      <c r="N24" s="72">
        <v>-0.55000000000000004</v>
      </c>
      <c r="O24" s="72">
        <v>-22.92</v>
      </c>
      <c r="P24" s="76">
        <v>55268</v>
      </c>
      <c r="Q24" s="72">
        <v>70.05</v>
      </c>
      <c r="R24" s="77"/>
    </row>
    <row r="25" spans="3:18" ht="42" thickBot="1">
      <c r="C25" s="72"/>
      <c r="D25" s="72" t="s">
        <v>0</v>
      </c>
      <c r="E25" s="73">
        <v>46238</v>
      </c>
      <c r="F25" s="72" t="s">
        <v>20</v>
      </c>
      <c r="G25" s="74">
        <v>22550</v>
      </c>
      <c r="H25" s="72">
        <v>1.65</v>
      </c>
      <c r="I25" s="72">
        <v>2.4500000000000002</v>
      </c>
      <c r="J25" s="72">
        <v>1.6</v>
      </c>
      <c r="K25" s="72" t="s">
        <v>47</v>
      </c>
      <c r="L25" s="72">
        <v>2.65</v>
      </c>
      <c r="M25" s="75">
        <v>1.9</v>
      </c>
      <c r="N25" s="72">
        <v>-0.75</v>
      </c>
      <c r="O25" s="72">
        <v>-28.3</v>
      </c>
      <c r="P25" s="76">
        <v>1388</v>
      </c>
      <c r="Q25" s="72">
        <v>1.81</v>
      </c>
      <c r="R25" s="77"/>
    </row>
    <row r="26" spans="3:18" ht="42" thickBot="1">
      <c r="C26" s="72"/>
      <c r="D26" s="72" t="s">
        <v>0</v>
      </c>
      <c r="E26" s="73">
        <v>46238</v>
      </c>
      <c r="F26" s="72" t="s">
        <v>20</v>
      </c>
      <c r="G26" s="74">
        <v>22600</v>
      </c>
      <c r="H26" s="72">
        <v>2</v>
      </c>
      <c r="I26" s="72">
        <v>2.7</v>
      </c>
      <c r="J26" s="72">
        <v>1.6</v>
      </c>
      <c r="K26" s="72" t="s">
        <v>47</v>
      </c>
      <c r="L26" s="72">
        <v>2.75</v>
      </c>
      <c r="M26" s="75">
        <v>2</v>
      </c>
      <c r="N26" s="72">
        <v>-0.75</v>
      </c>
      <c r="O26" s="72">
        <v>-27.27</v>
      </c>
      <c r="P26" s="76">
        <v>24426</v>
      </c>
      <c r="Q26" s="72">
        <v>31.91</v>
      </c>
      <c r="R26" s="77"/>
    </row>
    <row r="27" spans="3:18" ht="42" thickBot="1">
      <c r="C27" s="72"/>
      <c r="D27" s="72" t="s">
        <v>0</v>
      </c>
      <c r="E27" s="73">
        <v>46238</v>
      </c>
      <c r="F27" s="72" t="s">
        <v>20</v>
      </c>
      <c r="G27" s="74">
        <v>22650</v>
      </c>
      <c r="H27" s="72">
        <v>1.95</v>
      </c>
      <c r="I27" s="72">
        <v>2.75</v>
      </c>
      <c r="J27" s="72">
        <v>1.75</v>
      </c>
      <c r="K27" s="72" t="s">
        <v>47</v>
      </c>
      <c r="L27" s="72">
        <v>3</v>
      </c>
      <c r="M27" s="75">
        <v>2.15</v>
      </c>
      <c r="N27" s="72">
        <v>-0.85</v>
      </c>
      <c r="O27" s="72">
        <v>-28.33</v>
      </c>
      <c r="P27" s="76">
        <v>6482</v>
      </c>
      <c r="Q27" s="72">
        <v>9.31</v>
      </c>
      <c r="R27" s="77"/>
    </row>
    <row r="28" spans="3:18" ht="42" thickBot="1">
      <c r="C28" s="72"/>
      <c r="D28" s="72" t="s">
        <v>0</v>
      </c>
      <c r="E28" s="73">
        <v>46238</v>
      </c>
      <c r="F28" s="72" t="s">
        <v>20</v>
      </c>
      <c r="G28" s="74">
        <v>22700</v>
      </c>
      <c r="H28" s="72">
        <v>3</v>
      </c>
      <c r="I28" s="72">
        <v>3.05</v>
      </c>
      <c r="J28" s="72">
        <v>1.8</v>
      </c>
      <c r="K28" s="72" t="s">
        <v>47</v>
      </c>
      <c r="L28" s="72">
        <v>3.25</v>
      </c>
      <c r="M28" s="75">
        <v>2.2000000000000002</v>
      </c>
      <c r="N28" s="72">
        <v>-1.05</v>
      </c>
      <c r="O28" s="72">
        <v>-32.31</v>
      </c>
      <c r="P28" s="76">
        <v>55630</v>
      </c>
      <c r="Q28" s="72">
        <v>82.08</v>
      </c>
      <c r="R28" s="77"/>
    </row>
    <row r="29" spans="3:18" ht="42" thickBot="1">
      <c r="C29" s="72"/>
      <c r="D29" s="72" t="s">
        <v>0</v>
      </c>
      <c r="E29" s="73">
        <v>46238</v>
      </c>
      <c r="F29" s="72" t="s">
        <v>20</v>
      </c>
      <c r="G29" s="74">
        <v>22750</v>
      </c>
      <c r="H29" s="72">
        <v>3.85</v>
      </c>
      <c r="I29" s="72">
        <v>3.85</v>
      </c>
      <c r="J29" s="72">
        <v>2</v>
      </c>
      <c r="K29" s="72" t="s">
        <v>47</v>
      </c>
      <c r="L29" s="72">
        <v>3.5</v>
      </c>
      <c r="M29" s="75">
        <v>2.4</v>
      </c>
      <c r="N29" s="72">
        <v>-1.1000000000000001</v>
      </c>
      <c r="O29" s="72">
        <v>-31.43</v>
      </c>
      <c r="P29" s="76">
        <v>7452</v>
      </c>
      <c r="Q29" s="72">
        <v>11.63</v>
      </c>
      <c r="R29" s="77"/>
    </row>
    <row r="30" spans="3:18" ht="42" thickBot="1">
      <c r="C30" s="72"/>
      <c r="D30" s="72" t="s">
        <v>0</v>
      </c>
      <c r="E30" s="73">
        <v>46238</v>
      </c>
      <c r="F30" s="72" t="s">
        <v>20</v>
      </c>
      <c r="G30" s="74">
        <v>22800</v>
      </c>
      <c r="H30" s="72">
        <v>2.9</v>
      </c>
      <c r="I30" s="72">
        <v>3.25</v>
      </c>
      <c r="J30" s="72">
        <v>2</v>
      </c>
      <c r="K30" s="72" t="s">
        <v>47</v>
      </c>
      <c r="L30" s="72">
        <v>3.65</v>
      </c>
      <c r="M30" s="75">
        <v>2.4500000000000002</v>
      </c>
      <c r="N30" s="72">
        <v>-1.2</v>
      </c>
      <c r="O30" s="72">
        <v>-32.880000000000003</v>
      </c>
      <c r="P30" s="76">
        <v>66863</v>
      </c>
      <c r="Q30" s="72">
        <v>106.48</v>
      </c>
      <c r="R30" s="77"/>
    </row>
    <row r="31" spans="3:18" ht="42" thickBot="1">
      <c r="C31" s="72"/>
      <c r="D31" s="72" t="s">
        <v>0</v>
      </c>
      <c r="E31" s="73">
        <v>46238</v>
      </c>
      <c r="F31" s="72" t="s">
        <v>20</v>
      </c>
      <c r="G31" s="74">
        <v>22850</v>
      </c>
      <c r="H31" s="72">
        <v>2.15</v>
      </c>
      <c r="I31" s="72">
        <v>3.65</v>
      </c>
      <c r="J31" s="72">
        <v>2.15</v>
      </c>
      <c r="K31" s="72" t="s">
        <v>47</v>
      </c>
      <c r="L31" s="72">
        <v>3.95</v>
      </c>
      <c r="M31" s="75">
        <v>2.7</v>
      </c>
      <c r="N31" s="72">
        <v>-1.25</v>
      </c>
      <c r="O31" s="72">
        <v>-31.65</v>
      </c>
      <c r="P31" s="76">
        <v>10259</v>
      </c>
      <c r="Q31" s="72">
        <v>18.14</v>
      </c>
      <c r="R31" s="77"/>
    </row>
    <row r="32" spans="3:18" ht="42" thickBot="1">
      <c r="C32" s="72"/>
      <c r="D32" s="72" t="s">
        <v>0</v>
      </c>
      <c r="E32" s="73">
        <v>46238</v>
      </c>
      <c r="F32" s="72" t="s">
        <v>20</v>
      </c>
      <c r="G32" s="74">
        <v>22900</v>
      </c>
      <c r="H32" s="72">
        <v>3.15</v>
      </c>
      <c r="I32" s="72">
        <v>3.7</v>
      </c>
      <c r="J32" s="72">
        <v>2.4</v>
      </c>
      <c r="K32" s="72" t="s">
        <v>47</v>
      </c>
      <c r="L32" s="72">
        <v>4.2</v>
      </c>
      <c r="M32" s="75">
        <v>2.9</v>
      </c>
      <c r="N32" s="72">
        <v>-1.3</v>
      </c>
      <c r="O32" s="72">
        <v>-30.95</v>
      </c>
      <c r="P32" s="76">
        <v>39257</v>
      </c>
      <c r="Q32" s="72">
        <v>73.739999999999995</v>
      </c>
      <c r="R32" s="77"/>
    </row>
    <row r="33" spans="3:18" ht="42" thickBot="1">
      <c r="C33" s="72"/>
      <c r="D33" s="72" t="s">
        <v>0</v>
      </c>
      <c r="E33" s="73">
        <v>46238</v>
      </c>
      <c r="F33" s="72" t="s">
        <v>1</v>
      </c>
      <c r="G33" s="74">
        <v>22900</v>
      </c>
      <c r="H33" s="74">
        <v>1270</v>
      </c>
      <c r="I33" s="74">
        <v>1322.1</v>
      </c>
      <c r="J33" s="74">
        <v>1270</v>
      </c>
      <c r="K33" s="72" t="s">
        <v>47</v>
      </c>
      <c r="L33" s="74">
        <v>1151.8499999999999</v>
      </c>
      <c r="M33" s="78">
        <v>1316</v>
      </c>
      <c r="N33" s="72">
        <v>164.15</v>
      </c>
      <c r="O33" s="72">
        <v>14.25</v>
      </c>
      <c r="P33" s="72">
        <v>21</v>
      </c>
      <c r="Q33" s="72">
        <v>17.920000000000002</v>
      </c>
      <c r="R33" s="77"/>
    </row>
    <row r="34" spans="3:18" ht="42" thickBot="1">
      <c r="C34" s="72"/>
      <c r="D34" s="72" t="s">
        <v>0</v>
      </c>
      <c r="E34" s="73">
        <v>46238</v>
      </c>
      <c r="F34" s="72" t="s">
        <v>20</v>
      </c>
      <c r="G34" s="74">
        <v>22950</v>
      </c>
      <c r="H34" s="72">
        <v>2.35</v>
      </c>
      <c r="I34" s="72">
        <v>3.9</v>
      </c>
      <c r="J34" s="72">
        <v>2.35</v>
      </c>
      <c r="K34" s="72" t="s">
        <v>47</v>
      </c>
      <c r="L34" s="72">
        <v>4.55</v>
      </c>
      <c r="M34" s="75">
        <v>3.15</v>
      </c>
      <c r="N34" s="72">
        <v>-1.4</v>
      </c>
      <c r="O34" s="72">
        <v>-30.77</v>
      </c>
      <c r="P34" s="76">
        <v>8045</v>
      </c>
      <c r="Q34" s="72">
        <v>16.63</v>
      </c>
      <c r="R34" s="77"/>
    </row>
    <row r="35" spans="3:18" ht="42" thickBot="1">
      <c r="C35" s="72"/>
      <c r="D35" s="72" t="s">
        <v>0</v>
      </c>
      <c r="E35" s="73">
        <v>46238</v>
      </c>
      <c r="F35" s="72" t="s">
        <v>20</v>
      </c>
      <c r="G35" s="74">
        <v>23000</v>
      </c>
      <c r="H35" s="72">
        <v>3.8</v>
      </c>
      <c r="I35" s="72">
        <v>4.0999999999999996</v>
      </c>
      <c r="J35" s="72">
        <v>3</v>
      </c>
      <c r="K35" s="72" t="s">
        <v>47</v>
      </c>
      <c r="L35" s="72">
        <v>5</v>
      </c>
      <c r="M35" s="75">
        <v>3.45</v>
      </c>
      <c r="N35" s="72">
        <v>-1.55</v>
      </c>
      <c r="O35" s="72">
        <v>-31</v>
      </c>
      <c r="P35" s="76">
        <v>96540</v>
      </c>
      <c r="Q35" s="72">
        <v>219.63</v>
      </c>
      <c r="R35" s="77"/>
    </row>
    <row r="36" spans="3:18" ht="42" thickBot="1">
      <c r="C36" s="72"/>
      <c r="D36" s="72" t="s">
        <v>0</v>
      </c>
      <c r="E36" s="73">
        <v>46238</v>
      </c>
      <c r="F36" s="72" t="s">
        <v>1</v>
      </c>
      <c r="G36" s="74">
        <v>23000</v>
      </c>
      <c r="H36" s="74">
        <v>1170</v>
      </c>
      <c r="I36" s="74">
        <v>1220</v>
      </c>
      <c r="J36" s="74">
        <v>1169</v>
      </c>
      <c r="K36" s="72" t="s">
        <v>47</v>
      </c>
      <c r="L36" s="74">
        <v>1033.3499999999999</v>
      </c>
      <c r="M36" s="78">
        <v>1218.7</v>
      </c>
      <c r="N36" s="72">
        <v>185.35</v>
      </c>
      <c r="O36" s="72">
        <v>17.940000000000001</v>
      </c>
      <c r="P36" s="72">
        <v>324</v>
      </c>
      <c r="Q36" s="72">
        <v>253.56</v>
      </c>
      <c r="R36" s="77"/>
    </row>
    <row r="37" spans="3:18" ht="42" thickBot="1">
      <c r="C37" s="72"/>
      <c r="D37" s="72" t="s">
        <v>0</v>
      </c>
      <c r="E37" s="73">
        <v>46238</v>
      </c>
      <c r="F37" s="72" t="s">
        <v>20</v>
      </c>
      <c r="G37" s="74">
        <v>23050</v>
      </c>
      <c r="H37" s="72">
        <v>5.45</v>
      </c>
      <c r="I37" s="72">
        <v>5.45</v>
      </c>
      <c r="J37" s="72">
        <v>3.25</v>
      </c>
      <c r="K37" s="72" t="s">
        <v>47</v>
      </c>
      <c r="L37" s="72">
        <v>5.2</v>
      </c>
      <c r="M37" s="75">
        <v>3.65</v>
      </c>
      <c r="N37" s="72">
        <v>-1.55</v>
      </c>
      <c r="O37" s="72">
        <v>-29.81</v>
      </c>
      <c r="P37" s="76">
        <v>11937</v>
      </c>
      <c r="Q37" s="72">
        <v>29.02</v>
      </c>
      <c r="R37" s="77"/>
    </row>
    <row r="38" spans="3:18" ht="42" thickBot="1">
      <c r="C38" s="72"/>
      <c r="D38" s="72" t="s">
        <v>0</v>
      </c>
      <c r="E38" s="73">
        <v>46238</v>
      </c>
      <c r="F38" s="72" t="s">
        <v>20</v>
      </c>
      <c r="G38" s="74">
        <v>23100</v>
      </c>
      <c r="H38" s="72">
        <v>3.35</v>
      </c>
      <c r="I38" s="72">
        <v>4.6500000000000004</v>
      </c>
      <c r="J38" s="72">
        <v>3.35</v>
      </c>
      <c r="K38" s="72" t="s">
        <v>47</v>
      </c>
      <c r="L38" s="72">
        <v>5.7</v>
      </c>
      <c r="M38" s="75">
        <v>3.9</v>
      </c>
      <c r="N38" s="72">
        <v>-1.8</v>
      </c>
      <c r="O38" s="72">
        <v>-31.58</v>
      </c>
      <c r="P38" s="76">
        <v>35639</v>
      </c>
      <c r="Q38" s="72">
        <v>92.66</v>
      </c>
      <c r="R38" s="77"/>
    </row>
    <row r="39" spans="3:18" ht="42" thickBot="1">
      <c r="C39" s="72"/>
      <c r="D39" s="72" t="s">
        <v>0</v>
      </c>
      <c r="E39" s="73">
        <v>46238</v>
      </c>
      <c r="F39" s="72" t="s">
        <v>1</v>
      </c>
      <c r="G39" s="74">
        <v>23100</v>
      </c>
      <c r="H39" s="74">
        <v>1100</v>
      </c>
      <c r="I39" s="74">
        <v>1125.4000000000001</v>
      </c>
      <c r="J39" s="74">
        <v>1100</v>
      </c>
      <c r="K39" s="72" t="s">
        <v>47</v>
      </c>
      <c r="L39" s="72">
        <v>942.6</v>
      </c>
      <c r="M39" s="78">
        <v>1115.2</v>
      </c>
      <c r="N39" s="72">
        <v>172.6</v>
      </c>
      <c r="O39" s="72">
        <v>18.309999999999999</v>
      </c>
      <c r="P39" s="72">
        <v>6</v>
      </c>
      <c r="Q39" s="72">
        <v>4.33</v>
      </c>
      <c r="R39" s="77"/>
    </row>
    <row r="40" spans="3:18" ht="42" thickBot="1">
      <c r="C40" s="72"/>
      <c r="D40" s="72" t="s">
        <v>0</v>
      </c>
      <c r="E40" s="73">
        <v>46238</v>
      </c>
      <c r="F40" s="72" t="s">
        <v>20</v>
      </c>
      <c r="G40" s="74">
        <v>23150</v>
      </c>
      <c r="H40" s="72">
        <v>4.6500000000000004</v>
      </c>
      <c r="I40" s="72">
        <v>5</v>
      </c>
      <c r="J40" s="72">
        <v>3.9</v>
      </c>
      <c r="K40" s="72" t="s">
        <v>47</v>
      </c>
      <c r="L40" s="72">
        <v>6.3</v>
      </c>
      <c r="M40" s="75">
        <v>4.25</v>
      </c>
      <c r="N40" s="72">
        <v>-2.0499999999999998</v>
      </c>
      <c r="O40" s="72">
        <v>-32.54</v>
      </c>
      <c r="P40" s="76">
        <v>16337</v>
      </c>
      <c r="Q40" s="72">
        <v>46.3</v>
      </c>
      <c r="R40" s="77"/>
    </row>
    <row r="41" spans="3:18" ht="42" thickBot="1">
      <c r="C41" s="72"/>
      <c r="D41" s="72" t="s">
        <v>0</v>
      </c>
      <c r="E41" s="73">
        <v>46238</v>
      </c>
      <c r="F41" s="72" t="s">
        <v>20</v>
      </c>
      <c r="G41" s="74">
        <v>23200</v>
      </c>
      <c r="H41" s="72">
        <v>5.95</v>
      </c>
      <c r="I41" s="72">
        <v>5.95</v>
      </c>
      <c r="J41" s="72">
        <v>3.95</v>
      </c>
      <c r="K41" s="72" t="s">
        <v>47</v>
      </c>
      <c r="L41" s="72">
        <v>6.9</v>
      </c>
      <c r="M41" s="75">
        <v>4.75</v>
      </c>
      <c r="N41" s="72">
        <v>-2.15</v>
      </c>
      <c r="O41" s="72">
        <v>-31.16</v>
      </c>
      <c r="P41" s="76">
        <v>78096</v>
      </c>
      <c r="Q41" s="72">
        <v>242.14</v>
      </c>
      <c r="R41" s="77"/>
    </row>
    <row r="42" spans="3:18" ht="42" thickBot="1">
      <c r="C42" s="72"/>
      <c r="D42" s="72" t="s">
        <v>0</v>
      </c>
      <c r="E42" s="73">
        <v>46238</v>
      </c>
      <c r="F42" s="72" t="s">
        <v>1</v>
      </c>
      <c r="G42" s="74">
        <v>23200</v>
      </c>
      <c r="H42" s="72">
        <v>999.5</v>
      </c>
      <c r="I42" s="74">
        <v>1018.8</v>
      </c>
      <c r="J42" s="72">
        <v>981.35</v>
      </c>
      <c r="K42" s="72" t="s">
        <v>47</v>
      </c>
      <c r="L42" s="72">
        <v>836.6</v>
      </c>
      <c r="M42" s="78">
        <v>1018.8</v>
      </c>
      <c r="N42" s="72">
        <v>182.2</v>
      </c>
      <c r="O42" s="72">
        <v>21.78</v>
      </c>
      <c r="P42" s="72">
        <v>116</v>
      </c>
      <c r="Q42" s="72">
        <v>75.59</v>
      </c>
      <c r="R42" s="77"/>
    </row>
    <row r="43" spans="3:18" ht="42" thickBot="1">
      <c r="C43" s="72"/>
      <c r="D43" s="72" t="s">
        <v>0</v>
      </c>
      <c r="E43" s="73">
        <v>46238</v>
      </c>
      <c r="F43" s="72" t="s">
        <v>20</v>
      </c>
      <c r="G43" s="74">
        <v>23250</v>
      </c>
      <c r="H43" s="72">
        <v>8.1999999999999993</v>
      </c>
      <c r="I43" s="72">
        <v>8.1999999999999993</v>
      </c>
      <c r="J43" s="72">
        <v>4.8</v>
      </c>
      <c r="K43" s="72" t="s">
        <v>47</v>
      </c>
      <c r="L43" s="72">
        <v>7.85</v>
      </c>
      <c r="M43" s="75">
        <v>5.2</v>
      </c>
      <c r="N43" s="72">
        <v>-2.65</v>
      </c>
      <c r="O43" s="72">
        <v>-33.76</v>
      </c>
      <c r="P43" s="76">
        <v>24772</v>
      </c>
      <c r="Q43" s="72">
        <v>83.89</v>
      </c>
      <c r="R43" s="77"/>
    </row>
    <row r="44" spans="3:18" ht="42" thickBot="1">
      <c r="C44" s="72"/>
      <c r="D44" s="72" t="s">
        <v>0</v>
      </c>
      <c r="E44" s="73">
        <v>46238</v>
      </c>
      <c r="F44" s="72" t="s">
        <v>1</v>
      </c>
      <c r="G44" s="74">
        <v>23250</v>
      </c>
      <c r="H44" s="72">
        <v>951.3</v>
      </c>
      <c r="I44" s="72">
        <v>980.3</v>
      </c>
      <c r="J44" s="72">
        <v>951.3</v>
      </c>
      <c r="K44" s="72" t="s">
        <v>47</v>
      </c>
      <c r="L44" s="72">
        <v>794.35</v>
      </c>
      <c r="M44" s="75">
        <v>977.65</v>
      </c>
      <c r="N44" s="72">
        <v>183.3</v>
      </c>
      <c r="O44" s="72">
        <v>23.08</v>
      </c>
      <c r="P44" s="72">
        <v>4</v>
      </c>
      <c r="Q44" s="72">
        <v>2.52</v>
      </c>
      <c r="R44" s="77"/>
    </row>
    <row r="45" spans="3:18" ht="42" thickBot="1">
      <c r="C45" s="72"/>
      <c r="D45" s="72" t="s">
        <v>0</v>
      </c>
      <c r="E45" s="73">
        <v>46238</v>
      </c>
      <c r="F45" s="72" t="s">
        <v>20</v>
      </c>
      <c r="G45" s="74">
        <v>23300</v>
      </c>
      <c r="H45" s="72">
        <v>9.3000000000000007</v>
      </c>
      <c r="I45" s="72">
        <v>9.9499999999999993</v>
      </c>
      <c r="J45" s="72">
        <v>4.5999999999999996</v>
      </c>
      <c r="K45" s="72" t="s">
        <v>47</v>
      </c>
      <c r="L45" s="72">
        <v>8.9</v>
      </c>
      <c r="M45" s="75">
        <v>5.65</v>
      </c>
      <c r="N45" s="72">
        <v>-3.25</v>
      </c>
      <c r="O45" s="72">
        <v>-36.520000000000003</v>
      </c>
      <c r="P45" s="76">
        <v>60747</v>
      </c>
      <c r="Q45" s="72">
        <v>225.46</v>
      </c>
      <c r="R45" s="77"/>
    </row>
    <row r="46" spans="3:18" ht="42" thickBot="1">
      <c r="C46" s="72"/>
      <c r="D46" s="72" t="s">
        <v>0</v>
      </c>
      <c r="E46" s="73">
        <v>46238</v>
      </c>
      <c r="F46" s="72" t="s">
        <v>1</v>
      </c>
      <c r="G46" s="74">
        <v>23300</v>
      </c>
      <c r="H46" s="72">
        <v>873.2</v>
      </c>
      <c r="I46" s="72">
        <v>928.1</v>
      </c>
      <c r="J46" s="72">
        <v>859.25</v>
      </c>
      <c r="K46" s="72" t="s">
        <v>47</v>
      </c>
      <c r="L46" s="72">
        <v>732.45</v>
      </c>
      <c r="M46" s="75">
        <v>922.3</v>
      </c>
      <c r="N46" s="72">
        <v>189.85</v>
      </c>
      <c r="O46" s="72">
        <v>25.92</v>
      </c>
      <c r="P46" s="72">
        <v>188</v>
      </c>
      <c r="Q46" s="72">
        <v>110.64</v>
      </c>
      <c r="R46" s="77"/>
    </row>
    <row r="47" spans="3:18" ht="42" thickBot="1">
      <c r="C47" s="72"/>
      <c r="D47" s="72" t="s">
        <v>0</v>
      </c>
      <c r="E47" s="73">
        <v>46238</v>
      </c>
      <c r="F47" s="72" t="s">
        <v>20</v>
      </c>
      <c r="G47" s="74">
        <v>23350</v>
      </c>
      <c r="H47" s="72">
        <v>9.6999999999999993</v>
      </c>
      <c r="I47" s="72">
        <v>9.6999999999999993</v>
      </c>
      <c r="J47" s="72">
        <v>5.9</v>
      </c>
      <c r="K47" s="72" t="s">
        <v>47</v>
      </c>
      <c r="L47" s="72">
        <v>10.45</v>
      </c>
      <c r="M47" s="75">
        <v>6.4</v>
      </c>
      <c r="N47" s="72">
        <v>-4.05</v>
      </c>
      <c r="O47" s="72">
        <v>-38.76</v>
      </c>
      <c r="P47" s="76">
        <v>24593</v>
      </c>
      <c r="Q47" s="72">
        <v>103.27</v>
      </c>
      <c r="R47" s="77"/>
    </row>
    <row r="48" spans="3:18" ht="42" thickBot="1">
      <c r="C48" s="72"/>
      <c r="D48" s="72" t="s">
        <v>0</v>
      </c>
      <c r="E48" s="73">
        <v>46238</v>
      </c>
      <c r="F48" s="72" t="s">
        <v>1</v>
      </c>
      <c r="G48" s="74">
        <v>23350</v>
      </c>
      <c r="H48" s="72">
        <v>843.05</v>
      </c>
      <c r="I48" s="72">
        <v>854.3</v>
      </c>
      <c r="J48" s="72">
        <v>843.05</v>
      </c>
      <c r="K48" s="72" t="s">
        <v>47</v>
      </c>
      <c r="L48" s="72">
        <v>704.65</v>
      </c>
      <c r="M48" s="75">
        <v>847.8</v>
      </c>
      <c r="N48" s="72">
        <v>143.15</v>
      </c>
      <c r="O48" s="72">
        <v>20.32</v>
      </c>
      <c r="P48" s="72">
        <v>12</v>
      </c>
      <c r="Q48" s="72">
        <v>6.62</v>
      </c>
      <c r="R48" s="77"/>
    </row>
    <row r="49" spans="3:18" ht="42" thickBot="1">
      <c r="C49" s="72"/>
      <c r="D49" s="72" t="s">
        <v>0</v>
      </c>
      <c r="E49" s="73">
        <v>46238</v>
      </c>
      <c r="F49" s="72" t="s">
        <v>20</v>
      </c>
      <c r="G49" s="74">
        <v>23400</v>
      </c>
      <c r="H49" s="72">
        <v>6.4</v>
      </c>
      <c r="I49" s="72">
        <v>9.5</v>
      </c>
      <c r="J49" s="72">
        <v>6.4</v>
      </c>
      <c r="K49" s="72" t="s">
        <v>47</v>
      </c>
      <c r="L49" s="72">
        <v>12.2</v>
      </c>
      <c r="M49" s="75">
        <v>7.25</v>
      </c>
      <c r="N49" s="72">
        <v>-4.95</v>
      </c>
      <c r="O49" s="72">
        <v>-40.57</v>
      </c>
      <c r="P49" s="76">
        <v>71195</v>
      </c>
      <c r="Q49" s="72">
        <v>336.43</v>
      </c>
      <c r="R49" s="77"/>
    </row>
    <row r="50" spans="3:18" ht="42" thickBot="1">
      <c r="C50" s="72"/>
      <c r="D50" s="72" t="s">
        <v>0</v>
      </c>
      <c r="E50" s="73">
        <v>46238</v>
      </c>
      <c r="F50" s="72" t="s">
        <v>1</v>
      </c>
      <c r="G50" s="74">
        <v>23400</v>
      </c>
      <c r="H50" s="72">
        <v>779.95</v>
      </c>
      <c r="I50" s="72">
        <v>831.9</v>
      </c>
      <c r="J50" s="72">
        <v>779.95</v>
      </c>
      <c r="K50" s="72" t="s">
        <v>47</v>
      </c>
      <c r="L50" s="72">
        <v>635.54999999999995</v>
      </c>
      <c r="M50" s="75">
        <v>823.65</v>
      </c>
      <c r="N50" s="72">
        <v>188.1</v>
      </c>
      <c r="O50" s="72">
        <v>29.6</v>
      </c>
      <c r="P50" s="72">
        <v>255</v>
      </c>
      <c r="Q50" s="72">
        <v>134.1</v>
      </c>
      <c r="R50" s="77"/>
    </row>
    <row r="51" spans="3:18" ht="42" thickBot="1">
      <c r="C51" s="72"/>
      <c r="D51" s="72" t="s">
        <v>0</v>
      </c>
      <c r="E51" s="73">
        <v>46238</v>
      </c>
      <c r="F51" s="72" t="s">
        <v>20</v>
      </c>
      <c r="G51" s="74">
        <v>23450</v>
      </c>
      <c r="H51" s="72">
        <v>8.8000000000000007</v>
      </c>
      <c r="I51" s="72">
        <v>9.5</v>
      </c>
      <c r="J51" s="72">
        <v>7.35</v>
      </c>
      <c r="K51" s="72" t="s">
        <v>47</v>
      </c>
      <c r="L51" s="72">
        <v>14.8</v>
      </c>
      <c r="M51" s="75">
        <v>8.35</v>
      </c>
      <c r="N51" s="72">
        <v>-6.45</v>
      </c>
      <c r="O51" s="72">
        <v>-43.58</v>
      </c>
      <c r="P51" s="76">
        <v>30866</v>
      </c>
      <c r="Q51" s="72">
        <v>168.33</v>
      </c>
      <c r="R51" s="77"/>
    </row>
    <row r="52" spans="3:18" ht="42" thickBot="1">
      <c r="C52" s="72"/>
      <c r="D52" s="72" t="s">
        <v>0</v>
      </c>
      <c r="E52" s="73">
        <v>46238</v>
      </c>
      <c r="F52" s="72" t="s">
        <v>1</v>
      </c>
      <c r="G52" s="74">
        <v>23450</v>
      </c>
      <c r="H52" s="72">
        <v>737.1</v>
      </c>
      <c r="I52" s="72">
        <v>775</v>
      </c>
      <c r="J52" s="72">
        <v>737.1</v>
      </c>
      <c r="K52" s="72" t="s">
        <v>47</v>
      </c>
      <c r="L52" s="72">
        <v>591.29999999999995</v>
      </c>
      <c r="M52" s="75">
        <v>773.25</v>
      </c>
      <c r="N52" s="72">
        <v>181.95</v>
      </c>
      <c r="O52" s="72">
        <v>30.77</v>
      </c>
      <c r="P52" s="72">
        <v>83</v>
      </c>
      <c r="Q52" s="72">
        <v>40.57</v>
      </c>
      <c r="R52" s="77"/>
    </row>
    <row r="53" spans="3:18" ht="42" thickBot="1">
      <c r="C53" s="72"/>
      <c r="D53" s="72" t="s">
        <v>0</v>
      </c>
      <c r="E53" s="73">
        <v>46238</v>
      </c>
      <c r="F53" s="72" t="s">
        <v>20</v>
      </c>
      <c r="G53" s="74">
        <v>23500</v>
      </c>
      <c r="H53" s="72">
        <v>11.4</v>
      </c>
      <c r="I53" s="72">
        <v>11.4</v>
      </c>
      <c r="J53" s="72">
        <v>8.6</v>
      </c>
      <c r="K53" s="72" t="s">
        <v>47</v>
      </c>
      <c r="L53" s="72">
        <v>17.8</v>
      </c>
      <c r="M53" s="75">
        <v>9.6999999999999993</v>
      </c>
      <c r="N53" s="72">
        <v>-8.1</v>
      </c>
      <c r="O53" s="72">
        <v>-45.51</v>
      </c>
      <c r="P53" s="76">
        <v>105562</v>
      </c>
      <c r="Q53" s="72">
        <v>664.2</v>
      </c>
      <c r="R53" s="77"/>
    </row>
    <row r="54" spans="3:18" ht="42" thickBot="1">
      <c r="C54" s="72"/>
      <c r="D54" s="72" t="s">
        <v>0</v>
      </c>
      <c r="E54" s="73">
        <v>46238</v>
      </c>
      <c r="F54" s="72" t="s">
        <v>1</v>
      </c>
      <c r="G54" s="74">
        <v>23500</v>
      </c>
      <c r="H54" s="72">
        <v>660.05</v>
      </c>
      <c r="I54" s="72">
        <v>734.6</v>
      </c>
      <c r="J54" s="72">
        <v>650</v>
      </c>
      <c r="K54" s="72" t="s">
        <v>47</v>
      </c>
      <c r="L54" s="72">
        <v>550.75</v>
      </c>
      <c r="M54" s="75">
        <v>725.45</v>
      </c>
      <c r="N54" s="72">
        <v>174.7</v>
      </c>
      <c r="O54" s="72">
        <v>31.72</v>
      </c>
      <c r="P54" s="76">
        <v>1794</v>
      </c>
      <c r="Q54" s="72">
        <v>822.28</v>
      </c>
      <c r="R54" s="77"/>
    </row>
    <row r="55" spans="3:18" ht="42" thickBot="1">
      <c r="C55" s="72"/>
      <c r="D55" s="72" t="s">
        <v>0</v>
      </c>
      <c r="E55" s="73">
        <v>46238</v>
      </c>
      <c r="F55" s="72" t="s">
        <v>20</v>
      </c>
      <c r="G55" s="74">
        <v>23550</v>
      </c>
      <c r="H55" s="72">
        <v>10</v>
      </c>
      <c r="I55" s="72">
        <v>18</v>
      </c>
      <c r="J55" s="72">
        <v>10</v>
      </c>
      <c r="K55" s="72" t="s">
        <v>47</v>
      </c>
      <c r="L55" s="72">
        <v>21.65</v>
      </c>
      <c r="M55" s="75">
        <v>11.35</v>
      </c>
      <c r="N55" s="72">
        <v>-10.3</v>
      </c>
      <c r="O55" s="72">
        <v>-47.58</v>
      </c>
      <c r="P55" s="76">
        <v>36540</v>
      </c>
      <c r="Q55" s="72">
        <v>270.05</v>
      </c>
      <c r="R55" s="77"/>
    </row>
    <row r="56" spans="3:18" ht="42" thickBot="1">
      <c r="C56" s="72"/>
      <c r="D56" s="72" t="s">
        <v>0</v>
      </c>
      <c r="E56" s="73">
        <v>46238</v>
      </c>
      <c r="F56" s="72" t="s">
        <v>1</v>
      </c>
      <c r="G56" s="74">
        <v>23550</v>
      </c>
      <c r="H56" s="72">
        <v>639.54999999999995</v>
      </c>
      <c r="I56" s="72">
        <v>685.85</v>
      </c>
      <c r="J56" s="72">
        <v>636.9</v>
      </c>
      <c r="K56" s="72" t="s">
        <v>47</v>
      </c>
      <c r="L56" s="72">
        <v>510.75</v>
      </c>
      <c r="M56" s="75">
        <v>677.3</v>
      </c>
      <c r="N56" s="72">
        <v>166.55</v>
      </c>
      <c r="O56" s="72">
        <v>32.61</v>
      </c>
      <c r="P56" s="72">
        <v>399</v>
      </c>
      <c r="Q56" s="72">
        <v>170.74</v>
      </c>
      <c r="R56" s="77"/>
    </row>
    <row r="57" spans="3:18" ht="42" thickBot="1">
      <c r="C57" s="72"/>
      <c r="D57" s="72" t="s">
        <v>0</v>
      </c>
      <c r="E57" s="73">
        <v>46238</v>
      </c>
      <c r="F57" s="72" t="s">
        <v>20</v>
      </c>
      <c r="G57" s="74">
        <v>23600</v>
      </c>
      <c r="H57" s="72">
        <v>18.649999999999999</v>
      </c>
      <c r="I57" s="72">
        <v>18.649999999999999</v>
      </c>
      <c r="J57" s="72">
        <v>12.05</v>
      </c>
      <c r="K57" s="72" t="s">
        <v>47</v>
      </c>
      <c r="L57" s="72">
        <v>26.2</v>
      </c>
      <c r="M57" s="75">
        <v>13.55</v>
      </c>
      <c r="N57" s="72">
        <v>-12.65</v>
      </c>
      <c r="O57" s="72">
        <v>-48.28</v>
      </c>
      <c r="P57" s="76">
        <v>83560</v>
      </c>
      <c r="Q57" s="72">
        <v>741.39</v>
      </c>
      <c r="R57" s="77"/>
    </row>
    <row r="58" spans="3:18" ht="42" thickBot="1">
      <c r="C58" s="72"/>
      <c r="D58" s="72" t="s">
        <v>0</v>
      </c>
      <c r="E58" s="73">
        <v>46238</v>
      </c>
      <c r="F58" s="72" t="s">
        <v>1</v>
      </c>
      <c r="G58" s="74">
        <v>23600</v>
      </c>
      <c r="H58" s="72">
        <v>599.95000000000005</v>
      </c>
      <c r="I58" s="72">
        <v>638.29999999999995</v>
      </c>
      <c r="J58" s="72">
        <v>568.1</v>
      </c>
      <c r="K58" s="72" t="s">
        <v>47</v>
      </c>
      <c r="L58" s="72">
        <v>458.75</v>
      </c>
      <c r="M58" s="75">
        <v>631.85</v>
      </c>
      <c r="N58" s="72">
        <v>173.1</v>
      </c>
      <c r="O58" s="72">
        <v>37.729999999999997</v>
      </c>
      <c r="P58" s="76">
        <v>1625</v>
      </c>
      <c r="Q58" s="72">
        <v>641.77</v>
      </c>
      <c r="R58" s="77"/>
    </row>
    <row r="59" spans="3:18" ht="42" thickBot="1">
      <c r="C59" s="72"/>
      <c r="D59" s="72" t="s">
        <v>0</v>
      </c>
      <c r="E59" s="73">
        <v>46238</v>
      </c>
      <c r="F59" s="72" t="s">
        <v>20</v>
      </c>
      <c r="G59" s="74">
        <v>23650</v>
      </c>
      <c r="H59" s="72">
        <v>20.2</v>
      </c>
      <c r="I59" s="72">
        <v>20.2</v>
      </c>
      <c r="J59" s="72">
        <v>14.35</v>
      </c>
      <c r="K59" s="72" t="s">
        <v>47</v>
      </c>
      <c r="L59" s="72">
        <v>33.049999999999997</v>
      </c>
      <c r="M59" s="75">
        <v>16.3</v>
      </c>
      <c r="N59" s="72">
        <v>-16.75</v>
      </c>
      <c r="O59" s="72">
        <v>-50.68</v>
      </c>
      <c r="P59" s="76">
        <v>39511</v>
      </c>
      <c r="Q59" s="72">
        <v>421.96</v>
      </c>
      <c r="R59" s="77"/>
    </row>
    <row r="60" spans="3:18" ht="42" thickBot="1">
      <c r="C60" s="72"/>
      <c r="D60" s="72" t="s">
        <v>0</v>
      </c>
      <c r="E60" s="73">
        <v>46238</v>
      </c>
      <c r="F60" s="72" t="s">
        <v>1</v>
      </c>
      <c r="G60" s="74">
        <v>23650</v>
      </c>
      <c r="H60" s="72">
        <v>505.05</v>
      </c>
      <c r="I60" s="72">
        <v>589</v>
      </c>
      <c r="J60" s="72">
        <v>505</v>
      </c>
      <c r="K60" s="72" t="s">
        <v>47</v>
      </c>
      <c r="L60" s="72">
        <v>412.1</v>
      </c>
      <c r="M60" s="75">
        <v>582.65</v>
      </c>
      <c r="N60" s="72">
        <v>170.55</v>
      </c>
      <c r="O60" s="72">
        <v>41.39</v>
      </c>
      <c r="P60" s="72">
        <v>897</v>
      </c>
      <c r="Q60" s="72">
        <v>326.3</v>
      </c>
      <c r="R60" s="77"/>
    </row>
    <row r="61" spans="3:18" ht="42" thickBot="1">
      <c r="C61" s="72"/>
      <c r="D61" s="72" t="s">
        <v>0</v>
      </c>
      <c r="E61" s="73">
        <v>46238</v>
      </c>
      <c r="F61" s="72" t="s">
        <v>20</v>
      </c>
      <c r="G61" s="74">
        <v>23700</v>
      </c>
      <c r="H61" s="72">
        <v>19.850000000000001</v>
      </c>
      <c r="I61" s="72">
        <v>23.1</v>
      </c>
      <c r="J61" s="72">
        <v>17.25</v>
      </c>
      <c r="K61" s="72" t="s">
        <v>47</v>
      </c>
      <c r="L61" s="72">
        <v>40.1</v>
      </c>
      <c r="M61" s="75">
        <v>19.600000000000001</v>
      </c>
      <c r="N61" s="72">
        <v>-20.5</v>
      </c>
      <c r="O61" s="72">
        <v>-51.12</v>
      </c>
      <c r="P61" s="76">
        <v>112591</v>
      </c>
      <c r="Q61" s="74">
        <v>1438.07</v>
      </c>
      <c r="R61" s="77"/>
    </row>
    <row r="62" spans="3:18" ht="42" thickBot="1">
      <c r="C62" s="72"/>
      <c r="D62" s="72" t="s">
        <v>0</v>
      </c>
      <c r="E62" s="73">
        <v>46238</v>
      </c>
      <c r="F62" s="72" t="s">
        <v>1</v>
      </c>
      <c r="G62" s="74">
        <v>23700</v>
      </c>
      <c r="H62" s="72">
        <v>503.3</v>
      </c>
      <c r="I62" s="72">
        <v>543.9</v>
      </c>
      <c r="J62" s="72">
        <v>478.15</v>
      </c>
      <c r="K62" s="72" t="s">
        <v>47</v>
      </c>
      <c r="L62" s="72">
        <v>371.95</v>
      </c>
      <c r="M62" s="75">
        <v>535.25</v>
      </c>
      <c r="N62" s="72">
        <v>163.30000000000001</v>
      </c>
      <c r="O62" s="72">
        <v>43.9</v>
      </c>
      <c r="P62" s="76">
        <v>3281</v>
      </c>
      <c r="Q62" s="74">
        <v>1097.25</v>
      </c>
      <c r="R62" s="77"/>
    </row>
    <row r="63" spans="3:18" ht="42" thickBot="1">
      <c r="C63" s="72"/>
      <c r="D63" s="72" t="s">
        <v>0</v>
      </c>
      <c r="E63" s="73">
        <v>46238</v>
      </c>
      <c r="F63" s="72" t="s">
        <v>20</v>
      </c>
      <c r="G63" s="74">
        <v>23750</v>
      </c>
      <c r="H63" s="72">
        <v>21.1</v>
      </c>
      <c r="I63" s="72">
        <v>28.35</v>
      </c>
      <c r="J63" s="72">
        <v>21</v>
      </c>
      <c r="K63" s="72" t="s">
        <v>47</v>
      </c>
      <c r="L63" s="72">
        <v>49.85</v>
      </c>
      <c r="M63" s="75">
        <v>23.75</v>
      </c>
      <c r="N63" s="72">
        <v>-26.1</v>
      </c>
      <c r="O63" s="72">
        <v>-52.36</v>
      </c>
      <c r="P63" s="76">
        <v>75345</v>
      </c>
      <c r="Q63" s="74">
        <v>1211.6199999999999</v>
      </c>
      <c r="R63" s="77"/>
    </row>
    <row r="64" spans="3:18" ht="42" thickBot="1">
      <c r="C64" s="72"/>
      <c r="D64" s="72" t="s">
        <v>0</v>
      </c>
      <c r="E64" s="73">
        <v>46238</v>
      </c>
      <c r="F64" s="72" t="s">
        <v>1</v>
      </c>
      <c r="G64" s="74">
        <v>23750</v>
      </c>
      <c r="H64" s="72">
        <v>471.65</v>
      </c>
      <c r="I64" s="72">
        <v>499</v>
      </c>
      <c r="J64" s="72">
        <v>432.3</v>
      </c>
      <c r="K64" s="72" t="s">
        <v>47</v>
      </c>
      <c r="L64" s="72">
        <v>334.7</v>
      </c>
      <c r="M64" s="75">
        <v>490.55</v>
      </c>
      <c r="N64" s="72">
        <v>155.85</v>
      </c>
      <c r="O64" s="72">
        <v>46.56</v>
      </c>
      <c r="P64" s="76">
        <v>1852</v>
      </c>
      <c r="Q64" s="72">
        <v>569.99</v>
      </c>
      <c r="R64" s="77"/>
    </row>
    <row r="65" spans="2:18" ht="42" thickBot="1">
      <c r="C65" s="72"/>
      <c r="D65" s="72" t="s">
        <v>0</v>
      </c>
      <c r="E65" s="73">
        <v>46238</v>
      </c>
      <c r="F65" s="72" t="s">
        <v>20</v>
      </c>
      <c r="G65" s="74">
        <v>23800</v>
      </c>
      <c r="H65" s="72">
        <v>28.75</v>
      </c>
      <c r="I65" s="72">
        <v>35.950000000000003</v>
      </c>
      <c r="J65" s="72">
        <v>25.15</v>
      </c>
      <c r="K65" s="72" t="s">
        <v>47</v>
      </c>
      <c r="L65" s="72">
        <v>61.3</v>
      </c>
      <c r="M65" s="75">
        <v>29.25</v>
      </c>
      <c r="N65" s="72">
        <v>-32.049999999999997</v>
      </c>
      <c r="O65" s="72">
        <v>-52.28</v>
      </c>
      <c r="P65" s="76">
        <v>140373</v>
      </c>
      <c r="Q65" s="74">
        <v>2727.24</v>
      </c>
      <c r="R65" s="77"/>
    </row>
    <row r="66" spans="2:18" ht="42" thickBot="1">
      <c r="C66" s="72"/>
      <c r="D66" s="72" t="s">
        <v>0</v>
      </c>
      <c r="E66" s="73">
        <v>46238</v>
      </c>
      <c r="F66" s="72" t="s">
        <v>1</v>
      </c>
      <c r="G66" s="74">
        <v>23800</v>
      </c>
      <c r="H66" s="72">
        <v>410</v>
      </c>
      <c r="I66" s="72">
        <v>453.3</v>
      </c>
      <c r="J66" s="72">
        <v>388.75</v>
      </c>
      <c r="K66" s="72" t="s">
        <v>47</v>
      </c>
      <c r="L66" s="72">
        <v>295.85000000000002</v>
      </c>
      <c r="M66" s="75">
        <v>444.4</v>
      </c>
      <c r="N66" s="72">
        <v>148.55000000000001</v>
      </c>
      <c r="O66" s="72">
        <v>50.21</v>
      </c>
      <c r="P66" s="76">
        <v>10040</v>
      </c>
      <c r="Q66" s="74">
        <v>2765.78</v>
      </c>
      <c r="R66" s="77"/>
    </row>
    <row r="67" spans="2:18" ht="42" thickBot="1">
      <c r="C67" s="72"/>
      <c r="D67" s="72" t="s">
        <v>0</v>
      </c>
      <c r="E67" s="73">
        <v>46238</v>
      </c>
      <c r="F67" s="72" t="s">
        <v>20</v>
      </c>
      <c r="G67" s="74">
        <v>23850</v>
      </c>
      <c r="H67" s="72">
        <v>44</v>
      </c>
      <c r="I67" s="72">
        <v>44</v>
      </c>
      <c r="J67" s="72">
        <v>31.8</v>
      </c>
      <c r="K67" s="72" t="s">
        <v>47</v>
      </c>
      <c r="L67" s="72">
        <v>73.599999999999994</v>
      </c>
      <c r="M67" s="75">
        <v>35.4</v>
      </c>
      <c r="N67" s="72">
        <v>-38.200000000000003</v>
      </c>
      <c r="O67" s="72">
        <v>-51.9</v>
      </c>
      <c r="P67" s="76">
        <v>61618</v>
      </c>
      <c r="Q67" s="74">
        <v>1455.88</v>
      </c>
      <c r="R67" s="77"/>
    </row>
    <row r="68" spans="2:18" ht="42" thickBot="1">
      <c r="C68" s="72"/>
      <c r="D68" s="72" t="s">
        <v>0</v>
      </c>
      <c r="E68" s="73">
        <v>46238</v>
      </c>
      <c r="F68" s="72" t="s">
        <v>1</v>
      </c>
      <c r="G68" s="74">
        <v>23850</v>
      </c>
      <c r="H68" s="72">
        <v>350</v>
      </c>
      <c r="I68" s="72">
        <v>410</v>
      </c>
      <c r="J68" s="72">
        <v>346.85</v>
      </c>
      <c r="K68" s="72" t="s">
        <v>47</v>
      </c>
      <c r="L68" s="72">
        <v>260.55</v>
      </c>
      <c r="M68" s="75">
        <v>403.05</v>
      </c>
      <c r="N68" s="72">
        <v>142.5</v>
      </c>
      <c r="O68" s="72">
        <v>54.69</v>
      </c>
      <c r="P68" s="76">
        <v>3848</v>
      </c>
      <c r="Q68" s="72">
        <v>954.06</v>
      </c>
      <c r="R68" s="77"/>
    </row>
    <row r="69" spans="2:18" ht="42" thickBot="1">
      <c r="C69" s="72"/>
      <c r="D69" s="72" t="s">
        <v>0</v>
      </c>
      <c r="E69" s="73">
        <v>46238</v>
      </c>
      <c r="F69" s="72" t="s">
        <v>20</v>
      </c>
      <c r="G69" s="74">
        <v>23900</v>
      </c>
      <c r="H69" s="72">
        <v>50</v>
      </c>
      <c r="I69" s="72">
        <v>55</v>
      </c>
      <c r="J69" s="72">
        <v>39.25</v>
      </c>
      <c r="K69" s="72" t="s">
        <v>47</v>
      </c>
      <c r="L69" s="72">
        <v>90.65</v>
      </c>
      <c r="M69" s="75">
        <v>43.15</v>
      </c>
      <c r="N69" s="72">
        <v>-47.5</v>
      </c>
      <c r="O69" s="72">
        <v>-52.4</v>
      </c>
      <c r="P69" s="76">
        <v>108046</v>
      </c>
      <c r="Q69" s="74">
        <v>3133.66</v>
      </c>
      <c r="R69" s="77"/>
    </row>
    <row r="70" spans="2:18" ht="42" thickBot="1">
      <c r="C70" s="72"/>
      <c r="D70" s="72" t="s">
        <v>0</v>
      </c>
      <c r="E70" s="73">
        <v>46238</v>
      </c>
      <c r="F70" s="72" t="s">
        <v>1</v>
      </c>
      <c r="G70" s="74">
        <v>23900</v>
      </c>
      <c r="H70" s="72">
        <v>340</v>
      </c>
      <c r="I70" s="72">
        <v>367.35</v>
      </c>
      <c r="J70" s="72">
        <v>306.55</v>
      </c>
      <c r="K70" s="72" t="s">
        <v>47</v>
      </c>
      <c r="L70" s="72">
        <v>225.3</v>
      </c>
      <c r="M70" s="75">
        <v>359.9</v>
      </c>
      <c r="N70" s="72">
        <v>134.6</v>
      </c>
      <c r="O70" s="72">
        <v>59.74</v>
      </c>
      <c r="P70" s="76">
        <v>21752</v>
      </c>
      <c r="Q70" s="74">
        <v>4803.66</v>
      </c>
      <c r="R70" s="77"/>
    </row>
    <row r="71" spans="2:18" ht="42" thickBot="1">
      <c r="C71" s="72"/>
      <c r="D71" s="72" t="s">
        <v>0</v>
      </c>
      <c r="E71" s="73">
        <v>46238</v>
      </c>
      <c r="F71" s="72" t="s">
        <v>20</v>
      </c>
      <c r="G71" s="74">
        <v>23950</v>
      </c>
      <c r="H71" s="72">
        <v>58.9</v>
      </c>
      <c r="I71" s="72">
        <v>65.45</v>
      </c>
      <c r="J71" s="72">
        <v>48.55</v>
      </c>
      <c r="K71" s="72" t="s">
        <v>47</v>
      </c>
      <c r="L71" s="72">
        <v>110.5</v>
      </c>
      <c r="M71" s="75">
        <v>52.6</v>
      </c>
      <c r="N71" s="72">
        <v>-57.9</v>
      </c>
      <c r="O71" s="72">
        <v>-52.4</v>
      </c>
      <c r="P71" s="76">
        <v>69923</v>
      </c>
      <c r="Q71" s="74">
        <v>2504.75</v>
      </c>
      <c r="R71" s="77"/>
    </row>
    <row r="72" spans="2:18" ht="42" thickBot="1">
      <c r="C72" s="72"/>
      <c r="D72" s="72" t="s">
        <v>0</v>
      </c>
      <c r="E72" s="73">
        <v>46238</v>
      </c>
      <c r="F72" s="72" t="s">
        <v>1</v>
      </c>
      <c r="G72" s="74">
        <v>23950</v>
      </c>
      <c r="H72" s="72">
        <v>288</v>
      </c>
      <c r="I72" s="72">
        <v>326.95</v>
      </c>
      <c r="J72" s="72">
        <v>263.5</v>
      </c>
      <c r="K72" s="72" t="s">
        <v>47</v>
      </c>
      <c r="L72" s="72">
        <v>191.85</v>
      </c>
      <c r="M72" s="75">
        <v>320.45</v>
      </c>
      <c r="N72" s="72">
        <v>128.6</v>
      </c>
      <c r="O72" s="72">
        <v>67.03</v>
      </c>
      <c r="P72" s="76">
        <v>22483</v>
      </c>
      <c r="Q72" s="74">
        <v>4335.8100000000004</v>
      </c>
      <c r="R72" s="77"/>
    </row>
    <row r="73" spans="2:18" ht="42" thickBot="1">
      <c r="C73" s="72"/>
      <c r="D73" s="72" t="s">
        <v>0</v>
      </c>
      <c r="E73" s="73">
        <v>46238</v>
      </c>
      <c r="F73" s="72" t="s">
        <v>20</v>
      </c>
      <c r="G73" s="74">
        <v>24000</v>
      </c>
      <c r="H73" s="72">
        <v>79.349999999999994</v>
      </c>
      <c r="I73" s="72">
        <v>79.599999999999994</v>
      </c>
      <c r="J73" s="72">
        <v>59.6</v>
      </c>
      <c r="K73" s="72" t="s">
        <v>47</v>
      </c>
      <c r="L73" s="72">
        <v>130.44999999999999</v>
      </c>
      <c r="M73" s="75">
        <v>63.9</v>
      </c>
      <c r="N73" s="72">
        <v>-66.55</v>
      </c>
      <c r="O73" s="72">
        <v>-51.02</v>
      </c>
      <c r="P73" s="76">
        <v>237791</v>
      </c>
      <c r="Q73" s="74">
        <v>10371.25</v>
      </c>
      <c r="R73" s="77"/>
    </row>
    <row r="74" spans="2:18" ht="42" thickBot="1">
      <c r="C74" s="72"/>
      <c r="D74" s="72" t="s">
        <v>0</v>
      </c>
      <c r="E74" s="73">
        <v>46238</v>
      </c>
      <c r="F74" s="72" t="s">
        <v>1</v>
      </c>
      <c r="G74" s="74">
        <v>24000</v>
      </c>
      <c r="H74" s="72">
        <v>241</v>
      </c>
      <c r="I74" s="72">
        <v>287.64999999999998</v>
      </c>
      <c r="J74" s="72">
        <v>225.1</v>
      </c>
      <c r="K74" s="72" t="s">
        <v>47</v>
      </c>
      <c r="L74" s="72">
        <v>164.55</v>
      </c>
      <c r="M74" s="75">
        <v>281</v>
      </c>
      <c r="N74" s="72">
        <v>116.45</v>
      </c>
      <c r="O74" s="72">
        <v>70.77</v>
      </c>
      <c r="P74" s="76">
        <v>132224</v>
      </c>
      <c r="Q74" s="74">
        <v>22323.51</v>
      </c>
      <c r="R74" s="77"/>
    </row>
    <row r="75" spans="2:18" ht="42" thickBot="1">
      <c r="C75" s="72"/>
      <c r="D75" s="72" t="s">
        <v>0</v>
      </c>
      <c r="E75" s="73">
        <v>46238</v>
      </c>
      <c r="F75" s="72" t="s">
        <v>20</v>
      </c>
      <c r="G75" s="74">
        <v>24050</v>
      </c>
      <c r="H75" s="72">
        <v>95</v>
      </c>
      <c r="I75" s="72">
        <v>95.95</v>
      </c>
      <c r="J75" s="72">
        <v>72.8</v>
      </c>
      <c r="K75" s="72" t="s">
        <v>47</v>
      </c>
      <c r="L75" s="72">
        <v>155.5</v>
      </c>
      <c r="M75" s="75">
        <v>77.099999999999994</v>
      </c>
      <c r="N75" s="72">
        <v>-78.400000000000006</v>
      </c>
      <c r="O75" s="72">
        <v>-50.42</v>
      </c>
      <c r="P75" s="76">
        <v>89810</v>
      </c>
      <c r="Q75" s="74">
        <v>4748.93</v>
      </c>
      <c r="R75" s="77"/>
    </row>
    <row r="76" spans="2:18" s="61" customFormat="1" ht="42" thickBot="1">
      <c r="B76" s="135"/>
      <c r="C76" s="160"/>
      <c r="D76" s="160" t="s">
        <v>0</v>
      </c>
      <c r="E76" s="161">
        <v>46238</v>
      </c>
      <c r="F76" s="160" t="s">
        <v>1</v>
      </c>
      <c r="G76" s="162">
        <v>24050</v>
      </c>
      <c r="H76" s="160">
        <v>201.15</v>
      </c>
      <c r="I76" s="160">
        <v>251</v>
      </c>
      <c r="J76" s="160">
        <v>199.85</v>
      </c>
      <c r="K76" s="160" t="s">
        <v>47</v>
      </c>
      <c r="L76" s="160">
        <v>139.75</v>
      </c>
      <c r="M76" s="163">
        <v>244.9</v>
      </c>
      <c r="N76" s="160">
        <v>105.15</v>
      </c>
      <c r="O76" s="160">
        <v>75.239999999999995</v>
      </c>
      <c r="P76" s="164">
        <v>55154</v>
      </c>
      <c r="Q76" s="162">
        <v>8112.88</v>
      </c>
      <c r="R76" s="159"/>
    </row>
    <row r="77" spans="2:18" ht="42" thickBot="1">
      <c r="C77" s="72"/>
      <c r="D77" s="72" t="s">
        <v>0</v>
      </c>
      <c r="E77" s="73">
        <v>46238</v>
      </c>
      <c r="F77" s="72" t="s">
        <v>1</v>
      </c>
      <c r="G77" s="74">
        <v>24100</v>
      </c>
      <c r="H77" s="72">
        <v>165.2</v>
      </c>
      <c r="I77" s="72">
        <v>216.5</v>
      </c>
      <c r="J77" s="72">
        <v>165.15</v>
      </c>
      <c r="K77" s="72" t="s">
        <v>47</v>
      </c>
      <c r="L77" s="72">
        <v>116.7</v>
      </c>
      <c r="M77" s="75">
        <v>209.2</v>
      </c>
      <c r="N77" s="72">
        <v>92.5</v>
      </c>
      <c r="O77" s="72">
        <v>79.260000000000005</v>
      </c>
      <c r="P77" s="76">
        <v>206566</v>
      </c>
      <c r="Q77" s="74">
        <v>26034.55</v>
      </c>
      <c r="R77" s="77"/>
    </row>
    <row r="78" spans="2:18" ht="42" thickBot="1">
      <c r="C78" s="72"/>
      <c r="D78" s="72" t="s">
        <v>0</v>
      </c>
      <c r="E78" s="73">
        <v>46238</v>
      </c>
      <c r="F78" s="72" t="s">
        <v>20</v>
      </c>
      <c r="G78" s="74">
        <v>24100</v>
      </c>
      <c r="H78" s="72">
        <v>118</v>
      </c>
      <c r="I78" s="72">
        <v>118</v>
      </c>
      <c r="J78" s="72">
        <v>88.6</v>
      </c>
      <c r="K78" s="72" t="s">
        <v>47</v>
      </c>
      <c r="L78" s="72">
        <v>180.85</v>
      </c>
      <c r="M78" s="75">
        <v>92.4</v>
      </c>
      <c r="N78" s="72">
        <v>-88.45</v>
      </c>
      <c r="O78" s="72">
        <v>-48.91</v>
      </c>
      <c r="P78" s="76">
        <v>204727</v>
      </c>
      <c r="Q78" s="74">
        <v>13011.83</v>
      </c>
      <c r="R78" s="77"/>
    </row>
    <row r="79" spans="2:18" ht="42" thickBot="1">
      <c r="C79" s="72"/>
      <c r="D79" s="72" t="s">
        <v>0</v>
      </c>
      <c r="E79" s="73">
        <v>46238</v>
      </c>
      <c r="F79" s="72" t="s">
        <v>1</v>
      </c>
      <c r="G79" s="74">
        <v>24150</v>
      </c>
      <c r="H79" s="72">
        <v>150.05000000000001</v>
      </c>
      <c r="I79" s="72">
        <v>184.6</v>
      </c>
      <c r="J79" s="72">
        <v>141</v>
      </c>
      <c r="K79" s="72" t="s">
        <v>47</v>
      </c>
      <c r="L79" s="72">
        <v>95.3</v>
      </c>
      <c r="M79" s="75">
        <v>178.35</v>
      </c>
      <c r="N79" s="72">
        <v>83.05</v>
      </c>
      <c r="O79" s="72">
        <v>87.15</v>
      </c>
      <c r="P79" s="76">
        <v>276535</v>
      </c>
      <c r="Q79" s="74">
        <v>29868.68</v>
      </c>
      <c r="R79" s="77"/>
    </row>
    <row r="80" spans="2:18" s="95" customFormat="1" ht="42" thickBot="1">
      <c r="C80" s="72"/>
      <c r="D80" s="72" t="s">
        <v>0</v>
      </c>
      <c r="E80" s="73">
        <v>46238</v>
      </c>
      <c r="F80" s="72" t="s">
        <v>20</v>
      </c>
      <c r="G80" s="74">
        <v>24150</v>
      </c>
      <c r="H80" s="72">
        <v>130</v>
      </c>
      <c r="I80" s="72">
        <v>137.30000000000001</v>
      </c>
      <c r="J80" s="72">
        <v>107</v>
      </c>
      <c r="K80" s="72" t="s">
        <v>47</v>
      </c>
      <c r="L80" s="72">
        <v>209.4</v>
      </c>
      <c r="M80" s="75">
        <v>110.8</v>
      </c>
      <c r="N80" s="72">
        <v>-98.6</v>
      </c>
      <c r="O80" s="72">
        <v>-47.09</v>
      </c>
      <c r="P80" s="76">
        <v>245394</v>
      </c>
      <c r="Q80" s="74">
        <v>18689.330000000002</v>
      </c>
      <c r="R80" s="77"/>
    </row>
    <row r="81" spans="2:19" s="61" customFormat="1" ht="42" thickBot="1">
      <c r="C81" s="72"/>
      <c r="D81" s="72" t="s">
        <v>0</v>
      </c>
      <c r="E81" s="73">
        <v>46238</v>
      </c>
      <c r="F81" s="72" t="s">
        <v>1</v>
      </c>
      <c r="G81" s="74">
        <v>24200</v>
      </c>
      <c r="H81" s="72">
        <v>119.9</v>
      </c>
      <c r="I81" s="72">
        <v>154.80000000000001</v>
      </c>
      <c r="J81" s="72">
        <v>116</v>
      </c>
      <c r="K81" s="72" t="s">
        <v>47</v>
      </c>
      <c r="L81" s="72">
        <v>77.400000000000006</v>
      </c>
      <c r="M81" s="75">
        <v>149.4</v>
      </c>
      <c r="N81" s="72">
        <v>72</v>
      </c>
      <c r="O81" s="72">
        <v>93.02</v>
      </c>
      <c r="P81" s="76">
        <v>574524</v>
      </c>
      <c r="Q81" s="74">
        <v>51579.62</v>
      </c>
      <c r="R81" s="86"/>
    </row>
    <row r="82" spans="2:19" ht="42" thickBot="1">
      <c r="C82" s="72"/>
      <c r="D82" s="72" t="s">
        <v>0</v>
      </c>
      <c r="E82" s="73">
        <v>46238</v>
      </c>
      <c r="F82" s="72" t="s">
        <v>20</v>
      </c>
      <c r="G82" s="74">
        <v>24200</v>
      </c>
      <c r="H82" s="72">
        <v>165.8</v>
      </c>
      <c r="I82" s="72">
        <v>165.8</v>
      </c>
      <c r="J82" s="72">
        <v>128</v>
      </c>
      <c r="K82" s="72" t="s">
        <v>47</v>
      </c>
      <c r="L82" s="72">
        <v>244.35</v>
      </c>
      <c r="M82" s="75">
        <v>131.65</v>
      </c>
      <c r="N82" s="72">
        <v>-112.7</v>
      </c>
      <c r="O82" s="72">
        <v>-46.12</v>
      </c>
      <c r="P82" s="76">
        <v>458016</v>
      </c>
      <c r="Q82" s="74">
        <v>41295.410000000003</v>
      </c>
      <c r="R82" s="77"/>
    </row>
    <row r="83" spans="2:19" ht="42" thickBot="1">
      <c r="C83" s="72"/>
      <c r="D83" s="72" t="s">
        <v>0</v>
      </c>
      <c r="E83" s="73">
        <v>46238</v>
      </c>
      <c r="F83" s="72" t="s">
        <v>1</v>
      </c>
      <c r="G83" s="74">
        <v>24250</v>
      </c>
      <c r="H83" s="72">
        <v>92.5</v>
      </c>
      <c r="I83" s="72">
        <v>127.95</v>
      </c>
      <c r="J83" s="72">
        <v>92.5</v>
      </c>
      <c r="K83" s="72" t="s">
        <v>47</v>
      </c>
      <c r="L83" s="72">
        <v>61.75</v>
      </c>
      <c r="M83" s="75">
        <v>123.05</v>
      </c>
      <c r="N83" s="72">
        <v>61.3</v>
      </c>
      <c r="O83" s="72">
        <v>99.27</v>
      </c>
      <c r="P83" s="76">
        <v>172275</v>
      </c>
      <c r="Q83" s="74">
        <v>12744.3</v>
      </c>
      <c r="R83" s="77"/>
    </row>
    <row r="84" spans="2:19" ht="42" thickBot="1">
      <c r="C84" s="72"/>
      <c r="D84" s="72" t="s">
        <v>0</v>
      </c>
      <c r="E84" s="73">
        <v>46238</v>
      </c>
      <c r="F84" s="72" t="s">
        <v>20</v>
      </c>
      <c r="G84" s="74">
        <v>24250</v>
      </c>
      <c r="H84" s="72">
        <v>179.4</v>
      </c>
      <c r="I84" s="72">
        <v>189.6</v>
      </c>
      <c r="J84" s="72">
        <v>152.05000000000001</v>
      </c>
      <c r="K84" s="72" t="s">
        <v>47</v>
      </c>
      <c r="L84" s="72">
        <v>273.35000000000002</v>
      </c>
      <c r="M84" s="75">
        <v>155.15</v>
      </c>
      <c r="N84" s="72">
        <v>-118.2</v>
      </c>
      <c r="O84" s="72">
        <v>-43.24</v>
      </c>
      <c r="P84" s="76">
        <v>87855</v>
      </c>
      <c r="Q84" s="74">
        <v>9295.67</v>
      </c>
      <c r="R84" s="77"/>
    </row>
    <row r="85" spans="2:19" ht="42" thickBot="1">
      <c r="C85" s="72"/>
      <c r="D85" s="72" t="s">
        <v>0</v>
      </c>
      <c r="E85" s="73">
        <v>46238</v>
      </c>
      <c r="F85" s="72" t="s">
        <v>1</v>
      </c>
      <c r="G85" s="74">
        <v>24300</v>
      </c>
      <c r="H85" s="72">
        <v>88.75</v>
      </c>
      <c r="I85" s="72">
        <v>103.9</v>
      </c>
      <c r="J85" s="72">
        <v>75.099999999999994</v>
      </c>
      <c r="K85" s="72" t="s">
        <v>47</v>
      </c>
      <c r="L85" s="72">
        <v>48.65</v>
      </c>
      <c r="M85" s="75">
        <v>99.55</v>
      </c>
      <c r="N85" s="72">
        <v>50.9</v>
      </c>
      <c r="O85" s="72">
        <v>104.62</v>
      </c>
      <c r="P85" s="76">
        <v>256286</v>
      </c>
      <c r="Q85" s="74">
        <v>15122.67</v>
      </c>
      <c r="R85" s="77"/>
    </row>
    <row r="86" spans="2:19" ht="42" thickBot="1">
      <c r="C86" s="72"/>
      <c r="D86" s="72" t="s">
        <v>0</v>
      </c>
      <c r="E86" s="73">
        <v>46238</v>
      </c>
      <c r="F86" s="72" t="s">
        <v>20</v>
      </c>
      <c r="G86" s="74">
        <v>24300</v>
      </c>
      <c r="H86" s="72">
        <v>220</v>
      </c>
      <c r="I86" s="72">
        <v>221.35</v>
      </c>
      <c r="J86" s="72">
        <v>178.3</v>
      </c>
      <c r="K86" s="72" t="s">
        <v>47</v>
      </c>
      <c r="L86" s="72">
        <v>310.85000000000002</v>
      </c>
      <c r="M86" s="75">
        <v>182</v>
      </c>
      <c r="N86" s="72">
        <v>-128.85</v>
      </c>
      <c r="O86" s="72">
        <v>-41.45</v>
      </c>
      <c r="P86" s="76">
        <v>103438</v>
      </c>
      <c r="Q86" s="74">
        <v>12882.17</v>
      </c>
      <c r="R86" s="77"/>
    </row>
    <row r="87" spans="2:19" ht="42" thickBot="1">
      <c r="B87" s="93"/>
      <c r="C87" s="72"/>
      <c r="D87" s="72" t="s">
        <v>0</v>
      </c>
      <c r="E87" s="73">
        <v>46238</v>
      </c>
      <c r="F87" s="72" t="s">
        <v>1</v>
      </c>
      <c r="G87" s="74">
        <v>24350</v>
      </c>
      <c r="H87" s="72">
        <v>73.95</v>
      </c>
      <c r="I87" s="72">
        <v>94.95</v>
      </c>
      <c r="J87" s="72">
        <v>59</v>
      </c>
      <c r="K87" s="72" t="s">
        <v>47</v>
      </c>
      <c r="L87" s="72">
        <v>37.65</v>
      </c>
      <c r="M87" s="75">
        <v>79</v>
      </c>
      <c r="N87" s="72">
        <v>41.35</v>
      </c>
      <c r="O87" s="72">
        <v>109.83</v>
      </c>
      <c r="P87" s="76">
        <v>103574</v>
      </c>
      <c r="Q87" s="74">
        <v>4849.28</v>
      </c>
      <c r="R87" s="77"/>
      <c r="S87" s="93"/>
    </row>
    <row r="88" spans="2:19" ht="42" thickBot="1">
      <c r="C88" s="72"/>
      <c r="D88" s="72" t="s">
        <v>0</v>
      </c>
      <c r="E88" s="73">
        <v>46238</v>
      </c>
      <c r="F88" s="72" t="s">
        <v>20</v>
      </c>
      <c r="G88" s="74">
        <v>24350</v>
      </c>
      <c r="H88" s="72">
        <v>227</v>
      </c>
      <c r="I88" s="72">
        <v>253.35</v>
      </c>
      <c r="J88" s="72">
        <v>207.15</v>
      </c>
      <c r="K88" s="72" t="s">
        <v>47</v>
      </c>
      <c r="L88" s="72">
        <v>347.6</v>
      </c>
      <c r="M88" s="75">
        <v>211.7</v>
      </c>
      <c r="N88" s="72">
        <v>-135.9</v>
      </c>
      <c r="O88" s="72">
        <v>-39.1</v>
      </c>
      <c r="P88" s="76">
        <v>16683</v>
      </c>
      <c r="Q88" s="74">
        <v>2408.33</v>
      </c>
      <c r="R88" s="77"/>
    </row>
    <row r="89" spans="2:19" ht="42" thickBot="1">
      <c r="C89" s="72"/>
      <c r="D89" s="72" t="s">
        <v>0</v>
      </c>
      <c r="E89" s="73">
        <v>46238</v>
      </c>
      <c r="F89" s="72" t="s">
        <v>1</v>
      </c>
      <c r="G89" s="74">
        <v>24400</v>
      </c>
      <c r="H89" s="72">
        <v>48.95</v>
      </c>
      <c r="I89" s="72">
        <v>64.95</v>
      </c>
      <c r="J89" s="72">
        <v>45.7</v>
      </c>
      <c r="K89" s="72" t="s">
        <v>47</v>
      </c>
      <c r="L89" s="72">
        <v>29.4</v>
      </c>
      <c r="M89" s="75">
        <v>61.7</v>
      </c>
      <c r="N89" s="72">
        <v>32.299999999999997</v>
      </c>
      <c r="O89" s="72">
        <v>109.86</v>
      </c>
      <c r="P89" s="76">
        <v>178835</v>
      </c>
      <c r="Q89" s="74">
        <v>6414.27</v>
      </c>
      <c r="R89" s="77"/>
    </row>
    <row r="90" spans="2:19" ht="42" thickBot="1">
      <c r="C90" s="72"/>
      <c r="D90" s="72" t="s">
        <v>0</v>
      </c>
      <c r="E90" s="73">
        <v>46238</v>
      </c>
      <c r="F90" s="72" t="s">
        <v>20</v>
      </c>
      <c r="G90" s="74">
        <v>24400</v>
      </c>
      <c r="H90" s="72">
        <v>275.89999999999998</v>
      </c>
      <c r="I90" s="72">
        <v>290.25</v>
      </c>
      <c r="J90" s="72">
        <v>240</v>
      </c>
      <c r="K90" s="72" t="s">
        <v>47</v>
      </c>
      <c r="L90" s="72">
        <v>393.45</v>
      </c>
      <c r="M90" s="75">
        <v>244.75</v>
      </c>
      <c r="N90" s="72">
        <v>-148.69999999999999</v>
      </c>
      <c r="O90" s="72">
        <v>-37.79</v>
      </c>
      <c r="P90" s="76">
        <v>27227</v>
      </c>
      <c r="Q90" s="74">
        <v>4527.74</v>
      </c>
      <c r="R90" s="77"/>
    </row>
    <row r="91" spans="2:19" ht="42" thickBot="1">
      <c r="C91" s="72"/>
      <c r="D91" s="72" t="s">
        <v>0</v>
      </c>
      <c r="E91" s="73">
        <v>46238</v>
      </c>
      <c r="F91" s="72" t="s">
        <v>1</v>
      </c>
      <c r="G91" s="74">
        <v>24450</v>
      </c>
      <c r="H91" s="72">
        <v>43.75</v>
      </c>
      <c r="I91" s="72">
        <v>50.2</v>
      </c>
      <c r="J91" s="72">
        <v>35.049999999999997</v>
      </c>
      <c r="K91" s="72" t="s">
        <v>47</v>
      </c>
      <c r="L91" s="72">
        <v>22.45</v>
      </c>
      <c r="M91" s="75">
        <v>47.6</v>
      </c>
      <c r="N91" s="72">
        <v>25.15</v>
      </c>
      <c r="O91" s="72">
        <v>112.03</v>
      </c>
      <c r="P91" s="76">
        <v>71260</v>
      </c>
      <c r="Q91" s="74">
        <v>1977.82</v>
      </c>
      <c r="R91" s="77"/>
    </row>
    <row r="92" spans="2:19" ht="42" thickBot="1">
      <c r="C92" s="72"/>
      <c r="D92" s="72" t="s">
        <v>0</v>
      </c>
      <c r="E92" s="73">
        <v>46238</v>
      </c>
      <c r="F92" s="72" t="s">
        <v>20</v>
      </c>
      <c r="G92" s="74">
        <v>24450</v>
      </c>
      <c r="H92" s="72">
        <v>319.89999999999998</v>
      </c>
      <c r="I92" s="72">
        <v>331.95</v>
      </c>
      <c r="J92" s="72">
        <v>275</v>
      </c>
      <c r="K92" s="72" t="s">
        <v>47</v>
      </c>
      <c r="L92" s="72">
        <v>427.15</v>
      </c>
      <c r="M92" s="75">
        <v>280</v>
      </c>
      <c r="N92" s="72">
        <v>-147.15</v>
      </c>
      <c r="O92" s="72">
        <v>-34.450000000000003</v>
      </c>
      <c r="P92" s="76">
        <v>4465</v>
      </c>
      <c r="Q92" s="72">
        <v>853.41</v>
      </c>
      <c r="R92" s="77"/>
    </row>
    <row r="93" spans="2:19" ht="42" thickBot="1">
      <c r="C93" s="72"/>
      <c r="D93" s="72" t="s">
        <v>0</v>
      </c>
      <c r="E93" s="73">
        <v>46238</v>
      </c>
      <c r="F93" s="72" t="s">
        <v>1</v>
      </c>
      <c r="G93" s="74">
        <v>24500</v>
      </c>
      <c r="H93" s="72">
        <v>30</v>
      </c>
      <c r="I93" s="72">
        <v>37.950000000000003</v>
      </c>
      <c r="J93" s="72">
        <v>26.55</v>
      </c>
      <c r="K93" s="72" t="s">
        <v>47</v>
      </c>
      <c r="L93" s="72">
        <v>17</v>
      </c>
      <c r="M93" s="75">
        <v>35.450000000000003</v>
      </c>
      <c r="N93" s="72">
        <v>18.45</v>
      </c>
      <c r="O93" s="72">
        <v>108.53</v>
      </c>
      <c r="P93" s="76">
        <v>240001</v>
      </c>
      <c r="Q93" s="74">
        <v>4968.62</v>
      </c>
      <c r="R93" s="77"/>
    </row>
    <row r="94" spans="2:19" ht="42" thickBot="1">
      <c r="C94" s="72"/>
      <c r="D94" s="72" t="s">
        <v>0</v>
      </c>
      <c r="E94" s="73">
        <v>46238</v>
      </c>
      <c r="F94" s="72" t="s">
        <v>20</v>
      </c>
      <c r="G94" s="74">
        <v>24500</v>
      </c>
      <c r="H94" s="72">
        <v>351.05</v>
      </c>
      <c r="I94" s="72">
        <v>370.25</v>
      </c>
      <c r="J94" s="72">
        <v>313</v>
      </c>
      <c r="K94" s="72" t="s">
        <v>47</v>
      </c>
      <c r="L94" s="72">
        <v>478.9</v>
      </c>
      <c r="M94" s="75">
        <v>319.10000000000002</v>
      </c>
      <c r="N94" s="72">
        <v>-159.80000000000001</v>
      </c>
      <c r="O94" s="72">
        <v>-33.369999999999997</v>
      </c>
      <c r="P94" s="76">
        <v>20349</v>
      </c>
      <c r="Q94" s="74">
        <v>4443.3</v>
      </c>
      <c r="R94" s="77"/>
    </row>
    <row r="95" spans="2:19" ht="42" thickBot="1">
      <c r="C95" s="72"/>
      <c r="D95" s="72" t="s">
        <v>0</v>
      </c>
      <c r="E95" s="73">
        <v>46238</v>
      </c>
      <c r="F95" s="72" t="s">
        <v>1</v>
      </c>
      <c r="G95" s="74">
        <v>24550</v>
      </c>
      <c r="H95" s="72">
        <v>20.7</v>
      </c>
      <c r="I95" s="72">
        <v>28.3</v>
      </c>
      <c r="J95" s="72">
        <v>19.95</v>
      </c>
      <c r="K95" s="72" t="s">
        <v>47</v>
      </c>
      <c r="L95" s="72">
        <v>12.9</v>
      </c>
      <c r="M95" s="75">
        <v>26.65</v>
      </c>
      <c r="N95" s="72">
        <v>13.75</v>
      </c>
      <c r="O95" s="72">
        <v>106.59</v>
      </c>
      <c r="P95" s="76">
        <v>65348</v>
      </c>
      <c r="Q95" s="74">
        <v>1011.36</v>
      </c>
      <c r="R95" s="77"/>
    </row>
    <row r="96" spans="2:19" ht="42" thickBot="1">
      <c r="B96" s="140"/>
      <c r="C96" s="72"/>
      <c r="D96" s="72" t="s">
        <v>0</v>
      </c>
      <c r="E96" s="73">
        <v>46238</v>
      </c>
      <c r="F96" s="72" t="s">
        <v>20</v>
      </c>
      <c r="G96" s="74">
        <v>24550</v>
      </c>
      <c r="H96" s="72">
        <v>383.1</v>
      </c>
      <c r="I96" s="72">
        <v>414.65</v>
      </c>
      <c r="J96" s="72">
        <v>353</v>
      </c>
      <c r="K96" s="72" t="s">
        <v>47</v>
      </c>
      <c r="L96" s="72">
        <v>520.85</v>
      </c>
      <c r="M96" s="75">
        <v>358.55</v>
      </c>
      <c r="N96" s="72">
        <v>-162.30000000000001</v>
      </c>
      <c r="O96" s="72">
        <v>-31.16</v>
      </c>
      <c r="P96" s="76">
        <v>1384</v>
      </c>
      <c r="Q96" s="72">
        <v>334.53</v>
      </c>
      <c r="R96" s="77"/>
    </row>
    <row r="97" spans="3:18" ht="42" thickBot="1">
      <c r="C97" s="72"/>
      <c r="D97" s="72" t="s">
        <v>0</v>
      </c>
      <c r="E97" s="73">
        <v>46238</v>
      </c>
      <c r="F97" s="72" t="s">
        <v>1</v>
      </c>
      <c r="G97" s="74">
        <v>24600</v>
      </c>
      <c r="H97" s="72">
        <v>15</v>
      </c>
      <c r="I97" s="72">
        <v>20.8</v>
      </c>
      <c r="J97" s="72">
        <v>14.95</v>
      </c>
      <c r="K97" s="72" t="s">
        <v>47</v>
      </c>
      <c r="L97" s="72">
        <v>9.65</v>
      </c>
      <c r="M97" s="75">
        <v>19.649999999999999</v>
      </c>
      <c r="N97" s="72">
        <v>10</v>
      </c>
      <c r="O97" s="72">
        <v>103.63</v>
      </c>
      <c r="P97" s="76">
        <v>158982</v>
      </c>
      <c r="Q97" s="74">
        <v>1799.12</v>
      </c>
      <c r="R97" s="77"/>
    </row>
    <row r="98" spans="3:18" ht="42" thickBot="1">
      <c r="C98" s="72"/>
      <c r="D98" s="72" t="s">
        <v>0</v>
      </c>
      <c r="E98" s="73">
        <v>46238</v>
      </c>
      <c r="F98" s="72" t="s">
        <v>20</v>
      </c>
      <c r="G98" s="74">
        <v>24600</v>
      </c>
      <c r="H98" s="72">
        <v>449.95</v>
      </c>
      <c r="I98" s="72">
        <v>458.95</v>
      </c>
      <c r="J98" s="72">
        <v>395.4</v>
      </c>
      <c r="K98" s="72" t="s">
        <v>47</v>
      </c>
      <c r="L98" s="72">
        <v>581.4</v>
      </c>
      <c r="M98" s="75">
        <v>401.1</v>
      </c>
      <c r="N98" s="72">
        <v>-180.3</v>
      </c>
      <c r="O98" s="72">
        <v>-31.01</v>
      </c>
      <c r="P98" s="76">
        <v>2164</v>
      </c>
      <c r="Q98" s="72">
        <v>589.39</v>
      </c>
      <c r="R98" s="77"/>
    </row>
    <row r="99" spans="3:18" ht="42" thickBot="1">
      <c r="C99" s="72"/>
      <c r="D99" s="72" t="s">
        <v>0</v>
      </c>
      <c r="E99" s="73">
        <v>46238</v>
      </c>
      <c r="F99" s="72" t="s">
        <v>1</v>
      </c>
      <c r="G99" s="74">
        <v>24650</v>
      </c>
      <c r="H99" s="72">
        <v>13.95</v>
      </c>
      <c r="I99" s="72">
        <v>15.35</v>
      </c>
      <c r="J99" s="72">
        <v>11.15</v>
      </c>
      <c r="K99" s="72" t="s">
        <v>47</v>
      </c>
      <c r="L99" s="72">
        <v>7.55</v>
      </c>
      <c r="M99" s="75">
        <v>14.5</v>
      </c>
      <c r="N99" s="72">
        <v>6.95</v>
      </c>
      <c r="O99" s="72">
        <v>92.05</v>
      </c>
      <c r="P99" s="76">
        <v>51606</v>
      </c>
      <c r="Q99" s="72">
        <v>438.08</v>
      </c>
      <c r="R99" s="77"/>
    </row>
    <row r="100" spans="3:18" ht="42" thickBot="1">
      <c r="C100" s="72"/>
      <c r="D100" s="72" t="s">
        <v>0</v>
      </c>
      <c r="E100" s="73">
        <v>46238</v>
      </c>
      <c r="F100" s="72" t="s">
        <v>20</v>
      </c>
      <c r="G100" s="74">
        <v>24650</v>
      </c>
      <c r="H100" s="72">
        <v>516.5</v>
      </c>
      <c r="I100" s="72">
        <v>516.5</v>
      </c>
      <c r="J100" s="72">
        <v>439.45</v>
      </c>
      <c r="K100" s="72" t="s">
        <v>47</v>
      </c>
      <c r="L100" s="72">
        <v>608.79999999999995</v>
      </c>
      <c r="M100" s="75">
        <v>446.45</v>
      </c>
      <c r="N100" s="72">
        <v>-162.35</v>
      </c>
      <c r="O100" s="72">
        <v>-26.67</v>
      </c>
      <c r="P100" s="72">
        <v>981</v>
      </c>
      <c r="Q100" s="72">
        <v>300.94</v>
      </c>
      <c r="R100" s="77"/>
    </row>
    <row r="101" spans="3:18" ht="42" thickBot="1">
      <c r="C101" s="72"/>
      <c r="D101" s="72" t="s">
        <v>0</v>
      </c>
      <c r="E101" s="73">
        <v>46238</v>
      </c>
      <c r="F101" s="72" t="s">
        <v>1</v>
      </c>
      <c r="G101" s="74">
        <v>24700</v>
      </c>
      <c r="H101" s="72">
        <v>9.65</v>
      </c>
      <c r="I101" s="72">
        <v>11.2</v>
      </c>
      <c r="J101" s="72">
        <v>8.4</v>
      </c>
      <c r="K101" s="72" t="s">
        <v>47</v>
      </c>
      <c r="L101" s="72">
        <v>5.7</v>
      </c>
      <c r="M101" s="75">
        <v>10.5</v>
      </c>
      <c r="N101" s="72">
        <v>4.8</v>
      </c>
      <c r="O101" s="72">
        <v>84.21</v>
      </c>
      <c r="P101" s="76">
        <v>149480</v>
      </c>
      <c r="Q101" s="72">
        <v>928.87</v>
      </c>
      <c r="R101" s="77"/>
    </row>
    <row r="102" spans="3:18" ht="42" thickBot="1">
      <c r="C102" s="72"/>
      <c r="D102" s="72" t="s">
        <v>0</v>
      </c>
      <c r="E102" s="73">
        <v>46238</v>
      </c>
      <c r="F102" s="72" t="s">
        <v>20</v>
      </c>
      <c r="G102" s="74">
        <v>24700</v>
      </c>
      <c r="H102" s="72">
        <v>548.70000000000005</v>
      </c>
      <c r="I102" s="72">
        <v>548.79999999999995</v>
      </c>
      <c r="J102" s="72">
        <v>485.05</v>
      </c>
      <c r="K102" s="72" t="s">
        <v>47</v>
      </c>
      <c r="L102" s="72">
        <v>675.85</v>
      </c>
      <c r="M102" s="75">
        <v>492.05</v>
      </c>
      <c r="N102" s="72">
        <v>-183.8</v>
      </c>
      <c r="O102" s="72">
        <v>-27.2</v>
      </c>
      <c r="P102" s="76">
        <v>3160</v>
      </c>
      <c r="Q102" s="74">
        <v>1053.83</v>
      </c>
      <c r="R102" s="77"/>
    </row>
    <row r="103" spans="3:18" ht="42" thickBot="1">
      <c r="C103" s="72"/>
      <c r="D103" s="72" t="s">
        <v>0</v>
      </c>
      <c r="E103" s="73">
        <v>46238</v>
      </c>
      <c r="F103" s="72" t="s">
        <v>1</v>
      </c>
      <c r="G103" s="74">
        <v>24750</v>
      </c>
      <c r="H103" s="72">
        <v>6.25</v>
      </c>
      <c r="I103" s="72">
        <v>8.3000000000000007</v>
      </c>
      <c r="J103" s="72">
        <v>6.25</v>
      </c>
      <c r="K103" s="72" t="s">
        <v>47</v>
      </c>
      <c r="L103" s="72">
        <v>4.75</v>
      </c>
      <c r="M103" s="75">
        <v>7.8</v>
      </c>
      <c r="N103" s="72">
        <v>3.05</v>
      </c>
      <c r="O103" s="72">
        <v>64.209999999999994</v>
      </c>
      <c r="P103" s="76">
        <v>56127</v>
      </c>
      <c r="Q103" s="72">
        <v>263.39999999999998</v>
      </c>
      <c r="R103" s="77"/>
    </row>
    <row r="104" spans="3:18" ht="42" thickBot="1">
      <c r="C104" s="72"/>
      <c r="D104" s="72" t="s">
        <v>0</v>
      </c>
      <c r="E104" s="73">
        <v>46238</v>
      </c>
      <c r="F104" s="72" t="s">
        <v>20</v>
      </c>
      <c r="G104" s="74">
        <v>24750</v>
      </c>
      <c r="H104" s="72">
        <v>583.1</v>
      </c>
      <c r="I104" s="72">
        <v>583.35</v>
      </c>
      <c r="J104" s="72">
        <v>531.75</v>
      </c>
      <c r="K104" s="72" t="s">
        <v>47</v>
      </c>
      <c r="L104" s="72">
        <v>709.25</v>
      </c>
      <c r="M104" s="75">
        <v>539.35</v>
      </c>
      <c r="N104" s="72">
        <v>-169.9</v>
      </c>
      <c r="O104" s="72">
        <v>-23.95</v>
      </c>
      <c r="P104" s="72">
        <v>262</v>
      </c>
      <c r="Q104" s="72">
        <v>95.49</v>
      </c>
      <c r="R104" s="77"/>
    </row>
    <row r="105" spans="3:18" ht="42" thickBot="1">
      <c r="C105" s="72"/>
      <c r="D105" s="72" t="s">
        <v>0</v>
      </c>
      <c r="E105" s="73">
        <v>46238</v>
      </c>
      <c r="F105" s="72" t="s">
        <v>1</v>
      </c>
      <c r="G105" s="74">
        <v>24800</v>
      </c>
      <c r="H105" s="72">
        <v>6.25</v>
      </c>
      <c r="I105" s="72">
        <v>7.05</v>
      </c>
      <c r="J105" s="72">
        <v>4.8499999999999996</v>
      </c>
      <c r="K105" s="72" t="s">
        <v>47</v>
      </c>
      <c r="L105" s="72">
        <v>3.95</v>
      </c>
      <c r="M105" s="75">
        <v>6.05</v>
      </c>
      <c r="N105" s="72">
        <v>2.1</v>
      </c>
      <c r="O105" s="72">
        <v>53.16</v>
      </c>
      <c r="P105" s="76">
        <v>88343</v>
      </c>
      <c r="Q105" s="72">
        <v>321.57</v>
      </c>
      <c r="R105" s="77"/>
    </row>
    <row r="106" spans="3:18" ht="42" thickBot="1">
      <c r="C106" s="72"/>
      <c r="D106" s="72" t="s">
        <v>0</v>
      </c>
      <c r="E106" s="73">
        <v>46238</v>
      </c>
      <c r="F106" s="72" t="s">
        <v>20</v>
      </c>
      <c r="G106" s="74">
        <v>24800</v>
      </c>
      <c r="H106" s="72">
        <v>635</v>
      </c>
      <c r="I106" s="72">
        <v>644</v>
      </c>
      <c r="J106" s="72">
        <v>579.95000000000005</v>
      </c>
      <c r="K106" s="72" t="s">
        <v>47</v>
      </c>
      <c r="L106" s="72">
        <v>763.15</v>
      </c>
      <c r="M106" s="75">
        <v>586.35</v>
      </c>
      <c r="N106" s="72">
        <v>-176.8</v>
      </c>
      <c r="O106" s="72">
        <v>-23.17</v>
      </c>
      <c r="P106" s="72">
        <v>263</v>
      </c>
      <c r="Q106" s="72">
        <v>104.27</v>
      </c>
      <c r="R106" s="77"/>
    </row>
    <row r="107" spans="3:18" ht="42" thickBot="1">
      <c r="C107" s="72"/>
      <c r="D107" s="72" t="s">
        <v>0</v>
      </c>
      <c r="E107" s="73">
        <v>46238</v>
      </c>
      <c r="F107" s="72" t="s">
        <v>1</v>
      </c>
      <c r="G107" s="74">
        <v>24850</v>
      </c>
      <c r="H107" s="72">
        <v>5.5</v>
      </c>
      <c r="I107" s="72">
        <v>5.5</v>
      </c>
      <c r="J107" s="72">
        <v>3.45</v>
      </c>
      <c r="K107" s="72" t="s">
        <v>47</v>
      </c>
      <c r="L107" s="72">
        <v>3.25</v>
      </c>
      <c r="M107" s="75">
        <v>4.55</v>
      </c>
      <c r="N107" s="72">
        <v>1.3</v>
      </c>
      <c r="O107" s="72">
        <v>40</v>
      </c>
      <c r="P107" s="76">
        <v>31280</v>
      </c>
      <c r="Q107" s="72">
        <v>88.24</v>
      </c>
      <c r="R107" s="77"/>
    </row>
    <row r="108" spans="3:18" ht="42" thickBot="1">
      <c r="C108" s="72"/>
      <c r="D108" s="72" t="s">
        <v>0</v>
      </c>
      <c r="E108" s="73">
        <v>46238</v>
      </c>
      <c r="F108" s="72" t="s">
        <v>20</v>
      </c>
      <c r="G108" s="74">
        <v>24850</v>
      </c>
      <c r="H108" s="72">
        <v>654.70000000000005</v>
      </c>
      <c r="I108" s="72">
        <v>662.85</v>
      </c>
      <c r="J108" s="72">
        <v>631.4</v>
      </c>
      <c r="K108" s="72" t="s">
        <v>47</v>
      </c>
      <c r="L108" s="72">
        <v>810</v>
      </c>
      <c r="M108" s="75">
        <v>632.15</v>
      </c>
      <c r="N108" s="72">
        <v>-177.85</v>
      </c>
      <c r="O108" s="72">
        <v>-21.96</v>
      </c>
      <c r="P108" s="72">
        <v>16</v>
      </c>
      <c r="Q108" s="72">
        <v>6.75</v>
      </c>
      <c r="R108" s="77"/>
    </row>
    <row r="109" spans="3:18" ht="42" thickBot="1">
      <c r="C109" s="72"/>
      <c r="D109" s="72" t="s">
        <v>0</v>
      </c>
      <c r="E109" s="73">
        <v>46238</v>
      </c>
      <c r="F109" s="72" t="s">
        <v>1</v>
      </c>
      <c r="G109" s="74">
        <v>24900</v>
      </c>
      <c r="H109" s="72">
        <v>5</v>
      </c>
      <c r="I109" s="72">
        <v>5</v>
      </c>
      <c r="J109" s="72">
        <v>2.95</v>
      </c>
      <c r="K109" s="72" t="s">
        <v>47</v>
      </c>
      <c r="L109" s="72">
        <v>2.75</v>
      </c>
      <c r="M109" s="75">
        <v>3.6</v>
      </c>
      <c r="N109" s="72">
        <v>0.85</v>
      </c>
      <c r="O109" s="72">
        <v>30.91</v>
      </c>
      <c r="P109" s="76">
        <v>65833</v>
      </c>
      <c r="Q109" s="72">
        <v>148.49</v>
      </c>
      <c r="R109" s="77"/>
    </row>
    <row r="110" spans="3:18" ht="42" thickBot="1">
      <c r="C110" s="72"/>
      <c r="D110" s="72" t="s">
        <v>0</v>
      </c>
      <c r="E110" s="73">
        <v>46238</v>
      </c>
      <c r="F110" s="72" t="s">
        <v>20</v>
      </c>
      <c r="G110" s="74">
        <v>24900</v>
      </c>
      <c r="H110" s="72">
        <v>700.05</v>
      </c>
      <c r="I110" s="72">
        <v>714.3</v>
      </c>
      <c r="J110" s="72">
        <v>686.3</v>
      </c>
      <c r="K110" s="72" t="s">
        <v>47</v>
      </c>
      <c r="L110" s="72">
        <v>877.45</v>
      </c>
      <c r="M110" s="75">
        <v>686.3</v>
      </c>
      <c r="N110" s="72">
        <v>-191.15</v>
      </c>
      <c r="O110" s="72">
        <v>-21.78</v>
      </c>
      <c r="P110" s="72">
        <v>76</v>
      </c>
      <c r="Q110" s="72">
        <v>34.69</v>
      </c>
      <c r="R110" s="77"/>
    </row>
    <row r="111" spans="3:18" ht="42" thickBot="1">
      <c r="C111" s="72"/>
      <c r="D111" s="72" t="s">
        <v>0</v>
      </c>
      <c r="E111" s="73">
        <v>46238</v>
      </c>
      <c r="F111" s="72" t="s">
        <v>1</v>
      </c>
      <c r="G111" s="74">
        <v>24950</v>
      </c>
      <c r="H111" s="72">
        <v>2.7</v>
      </c>
      <c r="I111" s="72">
        <v>3.6</v>
      </c>
      <c r="J111" s="72">
        <v>2.5</v>
      </c>
      <c r="K111" s="72" t="s">
        <v>47</v>
      </c>
      <c r="L111" s="72">
        <v>2.4</v>
      </c>
      <c r="M111" s="75">
        <v>3</v>
      </c>
      <c r="N111" s="72">
        <v>0.6</v>
      </c>
      <c r="O111" s="72">
        <v>25</v>
      </c>
      <c r="P111" s="76">
        <v>47674</v>
      </c>
      <c r="Q111" s="72">
        <v>90.18</v>
      </c>
      <c r="R111" s="77"/>
    </row>
    <row r="112" spans="3:18" ht="42" thickBot="1">
      <c r="C112" s="72"/>
      <c r="D112" s="72" t="s">
        <v>0</v>
      </c>
      <c r="E112" s="73">
        <v>46238</v>
      </c>
      <c r="F112" s="72" t="s">
        <v>1</v>
      </c>
      <c r="G112" s="74">
        <v>25000</v>
      </c>
      <c r="H112" s="72">
        <v>2.85</v>
      </c>
      <c r="I112" s="72">
        <v>3.1</v>
      </c>
      <c r="J112" s="72">
        <v>2.2000000000000002</v>
      </c>
      <c r="K112" s="72" t="s">
        <v>47</v>
      </c>
      <c r="L112" s="72">
        <v>2.25</v>
      </c>
      <c r="M112" s="75">
        <v>2.65</v>
      </c>
      <c r="N112" s="72">
        <v>0.4</v>
      </c>
      <c r="O112" s="72">
        <v>17.78</v>
      </c>
      <c r="P112" s="76">
        <v>149279</v>
      </c>
      <c r="Q112" s="72">
        <v>252.28</v>
      </c>
      <c r="R112" s="77"/>
    </row>
    <row r="113" spans="3:18" ht="42" thickBot="1">
      <c r="C113" s="72"/>
      <c r="D113" s="72" t="s">
        <v>0</v>
      </c>
      <c r="E113" s="73">
        <v>46238</v>
      </c>
      <c r="F113" s="72" t="s">
        <v>20</v>
      </c>
      <c r="G113" s="74">
        <v>25000</v>
      </c>
      <c r="H113" s="72">
        <v>843.9</v>
      </c>
      <c r="I113" s="72">
        <v>843.9</v>
      </c>
      <c r="J113" s="72">
        <v>778</v>
      </c>
      <c r="K113" s="72" t="s">
        <v>47</v>
      </c>
      <c r="L113" s="72">
        <v>968.25</v>
      </c>
      <c r="M113" s="75">
        <v>785.7</v>
      </c>
      <c r="N113" s="72">
        <v>-182.55</v>
      </c>
      <c r="O113" s="72">
        <v>-18.850000000000001</v>
      </c>
      <c r="P113" s="72">
        <v>681</v>
      </c>
      <c r="Q113" s="72">
        <v>352.42</v>
      </c>
      <c r="R113" s="77"/>
    </row>
    <row r="114" spans="3:18" ht="42" thickBot="1">
      <c r="C114" s="72"/>
      <c r="D114" s="72" t="s">
        <v>0</v>
      </c>
      <c r="E114" s="73">
        <v>46238</v>
      </c>
      <c r="F114" s="72" t="s">
        <v>1</v>
      </c>
      <c r="G114" s="74">
        <v>25050</v>
      </c>
      <c r="H114" s="72">
        <v>2.35</v>
      </c>
      <c r="I114" s="72">
        <v>3.1</v>
      </c>
      <c r="J114" s="72">
        <v>1.85</v>
      </c>
      <c r="K114" s="72" t="s">
        <v>47</v>
      </c>
      <c r="L114" s="72">
        <v>1.85</v>
      </c>
      <c r="M114" s="75">
        <v>2.0499999999999998</v>
      </c>
      <c r="N114" s="72">
        <v>0.2</v>
      </c>
      <c r="O114" s="72">
        <v>10.81</v>
      </c>
      <c r="P114" s="76">
        <v>15251</v>
      </c>
      <c r="Q114" s="72">
        <v>20.62</v>
      </c>
      <c r="R114" s="77"/>
    </row>
    <row r="115" spans="3:18" ht="42" thickBot="1">
      <c r="C115" s="72"/>
      <c r="D115" s="72" t="s">
        <v>0</v>
      </c>
      <c r="E115" s="73">
        <v>46238</v>
      </c>
      <c r="F115" s="72" t="s">
        <v>1</v>
      </c>
      <c r="G115" s="74">
        <v>25100</v>
      </c>
      <c r="H115" s="72">
        <v>1.5</v>
      </c>
      <c r="I115" s="72">
        <v>1.95</v>
      </c>
      <c r="J115" s="72">
        <v>1.5</v>
      </c>
      <c r="K115" s="72" t="s">
        <v>47</v>
      </c>
      <c r="L115" s="72">
        <v>1.55</v>
      </c>
      <c r="M115" s="75">
        <v>1.7</v>
      </c>
      <c r="N115" s="72">
        <v>0.15</v>
      </c>
      <c r="O115" s="72">
        <v>9.68</v>
      </c>
      <c r="P115" s="76">
        <v>44981</v>
      </c>
      <c r="Q115" s="72">
        <v>50.58</v>
      </c>
      <c r="R115" s="77"/>
    </row>
    <row r="116" spans="3:18" ht="42" thickBot="1">
      <c r="C116" s="72"/>
      <c r="D116" s="72" t="s">
        <v>0</v>
      </c>
      <c r="E116" s="73">
        <v>46238</v>
      </c>
      <c r="F116" s="72" t="s">
        <v>20</v>
      </c>
      <c r="G116" s="74">
        <v>25100</v>
      </c>
      <c r="H116" s="72">
        <v>910</v>
      </c>
      <c r="I116" s="72">
        <v>923.95</v>
      </c>
      <c r="J116" s="72">
        <v>887</v>
      </c>
      <c r="K116" s="72" t="s">
        <v>47</v>
      </c>
      <c r="L116" s="74">
        <v>1048.3</v>
      </c>
      <c r="M116" s="75">
        <v>887</v>
      </c>
      <c r="N116" s="72">
        <v>-161.30000000000001</v>
      </c>
      <c r="O116" s="72">
        <v>-15.39</v>
      </c>
      <c r="P116" s="72">
        <v>23</v>
      </c>
      <c r="Q116" s="72">
        <v>13.64</v>
      </c>
      <c r="R116" s="77"/>
    </row>
    <row r="117" spans="3:18" ht="42" thickBot="1">
      <c r="C117" s="72"/>
      <c r="D117" s="72" t="s">
        <v>0</v>
      </c>
      <c r="E117" s="73">
        <v>46238</v>
      </c>
      <c r="F117" s="72" t="s">
        <v>1</v>
      </c>
      <c r="G117" s="74">
        <v>25150</v>
      </c>
      <c r="H117" s="72">
        <v>1.5</v>
      </c>
      <c r="I117" s="72">
        <v>1.75</v>
      </c>
      <c r="J117" s="72">
        <v>1.4</v>
      </c>
      <c r="K117" s="72" t="s">
        <v>47</v>
      </c>
      <c r="L117" s="72">
        <v>1.4</v>
      </c>
      <c r="M117" s="75">
        <v>1.55</v>
      </c>
      <c r="N117" s="72">
        <v>0.15</v>
      </c>
      <c r="O117" s="72">
        <v>10.71</v>
      </c>
      <c r="P117" s="76">
        <v>11537</v>
      </c>
      <c r="Q117" s="72">
        <v>11.85</v>
      </c>
      <c r="R117" s="77"/>
    </row>
    <row r="118" spans="3:18" ht="42" thickBot="1">
      <c r="C118" s="72"/>
      <c r="D118" s="72" t="s">
        <v>0</v>
      </c>
      <c r="E118" s="73">
        <v>46238</v>
      </c>
      <c r="F118" s="72" t="s">
        <v>1</v>
      </c>
      <c r="G118" s="74">
        <v>25200</v>
      </c>
      <c r="H118" s="72">
        <v>1.65</v>
      </c>
      <c r="I118" s="72">
        <v>1.65</v>
      </c>
      <c r="J118" s="72">
        <v>1.25</v>
      </c>
      <c r="K118" s="72" t="s">
        <v>47</v>
      </c>
      <c r="L118" s="72">
        <v>1.3</v>
      </c>
      <c r="M118" s="75">
        <v>1.35</v>
      </c>
      <c r="N118" s="72">
        <v>0.05</v>
      </c>
      <c r="O118" s="72">
        <v>3.85</v>
      </c>
      <c r="P118" s="76">
        <v>42607</v>
      </c>
      <c r="Q118" s="72">
        <v>39.049999999999997</v>
      </c>
      <c r="R118" s="77"/>
    </row>
    <row r="119" spans="3:18" ht="42" thickBot="1">
      <c r="C119" s="72"/>
      <c r="D119" s="72" t="s">
        <v>0</v>
      </c>
      <c r="E119" s="73">
        <v>46238</v>
      </c>
      <c r="F119" s="72" t="s">
        <v>1</v>
      </c>
      <c r="G119" s="74">
        <v>25250</v>
      </c>
      <c r="H119" s="72">
        <v>1.25</v>
      </c>
      <c r="I119" s="72">
        <v>1.5</v>
      </c>
      <c r="J119" s="72">
        <v>1.1499999999999999</v>
      </c>
      <c r="K119" s="72" t="s">
        <v>47</v>
      </c>
      <c r="L119" s="72">
        <v>1.1499999999999999</v>
      </c>
      <c r="M119" s="75">
        <v>1.3</v>
      </c>
      <c r="N119" s="72">
        <v>0.15</v>
      </c>
      <c r="O119" s="72">
        <v>13.04</v>
      </c>
      <c r="P119" s="76">
        <v>16037</v>
      </c>
      <c r="Q119" s="72">
        <v>13.97</v>
      </c>
      <c r="R119" s="77"/>
    </row>
    <row r="120" spans="3:18" ht="42" thickBot="1">
      <c r="C120" s="72"/>
      <c r="D120" s="72" t="s">
        <v>0</v>
      </c>
      <c r="E120" s="73">
        <v>46238</v>
      </c>
      <c r="F120" s="72" t="s">
        <v>1</v>
      </c>
      <c r="G120" s="74">
        <v>25300</v>
      </c>
      <c r="H120" s="72">
        <v>1.2</v>
      </c>
      <c r="I120" s="72">
        <v>1.3</v>
      </c>
      <c r="J120" s="72">
        <v>0.95</v>
      </c>
      <c r="K120" s="72" t="s">
        <v>47</v>
      </c>
      <c r="L120" s="72">
        <v>1.1499999999999999</v>
      </c>
      <c r="M120" s="75">
        <v>1.1499999999999999</v>
      </c>
      <c r="N120" s="72">
        <v>0</v>
      </c>
      <c r="O120" s="72">
        <v>0</v>
      </c>
      <c r="P120" s="76">
        <v>48281</v>
      </c>
      <c r="Q120" s="72">
        <v>34.83</v>
      </c>
      <c r="R120" s="77"/>
    </row>
    <row r="121" spans="3:18" ht="42" thickBot="1">
      <c r="C121" s="72"/>
      <c r="D121" s="72" t="s">
        <v>0</v>
      </c>
      <c r="E121" s="73">
        <v>46238</v>
      </c>
      <c r="F121" s="72" t="s">
        <v>1</v>
      </c>
      <c r="G121" s="74">
        <v>25350</v>
      </c>
      <c r="H121" s="72">
        <v>1.1499999999999999</v>
      </c>
      <c r="I121" s="72">
        <v>1.3</v>
      </c>
      <c r="J121" s="72">
        <v>0.9</v>
      </c>
      <c r="K121" s="72" t="s">
        <v>47</v>
      </c>
      <c r="L121" s="72">
        <v>1.1000000000000001</v>
      </c>
      <c r="M121" s="75">
        <v>1.05</v>
      </c>
      <c r="N121" s="72">
        <v>-0.05</v>
      </c>
      <c r="O121" s="72">
        <v>-4.55</v>
      </c>
      <c r="P121" s="76">
        <v>7909</v>
      </c>
      <c r="Q121" s="72">
        <v>5.45</v>
      </c>
      <c r="R121" s="77"/>
    </row>
    <row r="122" spans="3:18" ht="42" thickBot="1">
      <c r="C122" s="72"/>
      <c r="D122" s="72" t="s">
        <v>0</v>
      </c>
      <c r="E122" s="73">
        <v>46238</v>
      </c>
      <c r="F122" s="72" t="s">
        <v>1</v>
      </c>
      <c r="G122" s="74">
        <v>25400</v>
      </c>
      <c r="H122" s="72">
        <v>1.05</v>
      </c>
      <c r="I122" s="72">
        <v>1.1499999999999999</v>
      </c>
      <c r="J122" s="72">
        <v>0.85</v>
      </c>
      <c r="K122" s="72" t="s">
        <v>47</v>
      </c>
      <c r="L122" s="72">
        <v>1.05</v>
      </c>
      <c r="M122" s="75">
        <v>0.95</v>
      </c>
      <c r="N122" s="72">
        <v>-0.1</v>
      </c>
      <c r="O122" s="72">
        <v>-9.52</v>
      </c>
      <c r="P122" s="76">
        <v>17457</v>
      </c>
      <c r="Q122" s="72">
        <v>11.01</v>
      </c>
      <c r="R122" s="77"/>
    </row>
    <row r="123" spans="3:18" ht="42" thickBot="1">
      <c r="C123" s="72"/>
      <c r="D123" s="72" t="s">
        <v>0</v>
      </c>
      <c r="E123" s="73">
        <v>46238</v>
      </c>
      <c r="F123" s="72" t="s">
        <v>1</v>
      </c>
      <c r="G123" s="74">
        <v>25450</v>
      </c>
      <c r="H123" s="72">
        <v>1</v>
      </c>
      <c r="I123" s="72">
        <v>1</v>
      </c>
      <c r="J123" s="72">
        <v>0.8</v>
      </c>
      <c r="K123" s="72" t="s">
        <v>47</v>
      </c>
      <c r="L123" s="72">
        <v>1</v>
      </c>
      <c r="M123" s="75">
        <v>0.9</v>
      </c>
      <c r="N123" s="72">
        <v>-0.1</v>
      </c>
      <c r="O123" s="72">
        <v>-10</v>
      </c>
      <c r="P123" s="76">
        <v>5577</v>
      </c>
      <c r="Q123" s="72">
        <v>3.34</v>
      </c>
      <c r="R123" s="77"/>
    </row>
    <row r="124" spans="3:18" ht="42" thickBot="1">
      <c r="C124" s="72"/>
      <c r="D124" s="72" t="s">
        <v>0</v>
      </c>
      <c r="E124" s="73">
        <v>46238</v>
      </c>
      <c r="F124" s="72" t="s">
        <v>20</v>
      </c>
      <c r="G124" s="74">
        <v>25450</v>
      </c>
      <c r="H124" s="74">
        <v>1200</v>
      </c>
      <c r="I124" s="74">
        <v>1200</v>
      </c>
      <c r="J124" s="74">
        <v>1200</v>
      </c>
      <c r="K124" s="72" t="s">
        <v>47</v>
      </c>
      <c r="L124" s="74">
        <v>1480</v>
      </c>
      <c r="M124" s="78">
        <v>1200</v>
      </c>
      <c r="N124" s="72">
        <v>-280</v>
      </c>
      <c r="O124" s="72">
        <v>-18.920000000000002</v>
      </c>
      <c r="P124" s="72">
        <v>1</v>
      </c>
      <c r="Q124" s="72">
        <v>0.78</v>
      </c>
      <c r="R124" s="77"/>
    </row>
    <row r="125" spans="3:18" ht="42" thickBot="1">
      <c r="C125" s="72"/>
      <c r="D125" s="72" t="s">
        <v>0</v>
      </c>
      <c r="E125" s="73">
        <v>46238</v>
      </c>
      <c r="F125" s="72" t="s">
        <v>1</v>
      </c>
      <c r="G125" s="74">
        <v>25500</v>
      </c>
      <c r="H125" s="72">
        <v>1</v>
      </c>
      <c r="I125" s="72">
        <v>1.1000000000000001</v>
      </c>
      <c r="J125" s="72">
        <v>0.8</v>
      </c>
      <c r="K125" s="72" t="s">
        <v>47</v>
      </c>
      <c r="L125" s="72">
        <v>1</v>
      </c>
      <c r="M125" s="75">
        <v>0.9</v>
      </c>
      <c r="N125" s="72">
        <v>-0.1</v>
      </c>
      <c r="O125" s="72">
        <v>-10</v>
      </c>
      <c r="P125" s="76">
        <v>81599</v>
      </c>
      <c r="Q125" s="72">
        <v>47.21</v>
      </c>
      <c r="R125" s="77"/>
    </row>
    <row r="126" spans="3:18" ht="42" thickBot="1">
      <c r="C126" s="72"/>
      <c r="D126" s="72" t="s">
        <v>0</v>
      </c>
      <c r="E126" s="73">
        <v>46238</v>
      </c>
      <c r="F126" s="72" t="s">
        <v>20</v>
      </c>
      <c r="G126" s="74">
        <v>25500</v>
      </c>
      <c r="H126" s="74">
        <v>1287</v>
      </c>
      <c r="I126" s="74">
        <v>1304.2</v>
      </c>
      <c r="J126" s="74">
        <v>1285</v>
      </c>
      <c r="K126" s="72" t="s">
        <v>47</v>
      </c>
      <c r="L126" s="74">
        <v>1457.1</v>
      </c>
      <c r="M126" s="78">
        <v>1285</v>
      </c>
      <c r="N126" s="72">
        <v>-172.1</v>
      </c>
      <c r="O126" s="72">
        <v>-11.81</v>
      </c>
      <c r="P126" s="72">
        <v>179</v>
      </c>
      <c r="Q126" s="72">
        <v>150.65</v>
      </c>
      <c r="R126" s="77"/>
    </row>
    <row r="127" spans="3:18" ht="29.4" thickBot="1">
      <c r="C127" s="72"/>
      <c r="D127" s="90" t="s">
        <v>0</v>
      </c>
      <c r="E127" s="91">
        <v>46231</v>
      </c>
      <c r="F127" s="90" t="s">
        <v>20</v>
      </c>
      <c r="G127" s="92">
        <v>25500</v>
      </c>
      <c r="H127" s="92">
        <v>1510.2</v>
      </c>
      <c r="I127" s="92">
        <v>1510.25</v>
      </c>
      <c r="J127" s="92">
        <v>1475.2</v>
      </c>
      <c r="K127" s="90" t="s">
        <v>47</v>
      </c>
      <c r="L127" s="92">
        <v>1475.2</v>
      </c>
      <c r="M127" s="149">
        <v>1475.2</v>
      </c>
      <c r="N127" s="90">
        <v>0</v>
      </c>
      <c r="O127" s="90">
        <v>0</v>
      </c>
      <c r="P127" s="90">
        <v>16</v>
      </c>
      <c r="Q127" s="90">
        <v>15.55</v>
      </c>
      <c r="R127" s="77"/>
    </row>
    <row r="128" spans="3:18" ht="42" thickBot="1">
      <c r="C128" s="72"/>
      <c r="D128" s="72" t="s">
        <v>0</v>
      </c>
      <c r="E128" s="73">
        <v>46238</v>
      </c>
      <c r="F128" s="72" t="s">
        <v>1</v>
      </c>
      <c r="G128" s="74">
        <v>25550</v>
      </c>
      <c r="H128" s="72">
        <v>0.9</v>
      </c>
      <c r="I128" s="72">
        <v>1</v>
      </c>
      <c r="J128" s="72">
        <v>0.8</v>
      </c>
      <c r="K128" s="72" t="s">
        <v>47</v>
      </c>
      <c r="L128" s="72">
        <v>0.95</v>
      </c>
      <c r="M128" s="75">
        <v>0.9</v>
      </c>
      <c r="N128" s="72">
        <v>-0.05</v>
      </c>
      <c r="O128" s="72">
        <v>-5.26</v>
      </c>
      <c r="P128" s="76">
        <v>2216</v>
      </c>
      <c r="Q128" s="72">
        <v>1.3</v>
      </c>
      <c r="R128" s="77"/>
    </row>
    <row r="129" spans="3:18" ht="29.4" thickBot="1">
      <c r="C129" s="72"/>
      <c r="D129" s="90" t="s">
        <v>0</v>
      </c>
      <c r="E129" s="91">
        <v>46231</v>
      </c>
      <c r="F129" s="90" t="s">
        <v>1</v>
      </c>
      <c r="G129" s="92">
        <v>25550</v>
      </c>
      <c r="H129" s="90">
        <v>0.4</v>
      </c>
      <c r="I129" s="90">
        <v>0.65</v>
      </c>
      <c r="J129" s="90">
        <v>0.3</v>
      </c>
      <c r="K129" s="90" t="s">
        <v>47</v>
      </c>
      <c r="L129" s="90">
        <v>0.35</v>
      </c>
      <c r="M129" s="147">
        <v>0.3</v>
      </c>
      <c r="N129" s="90">
        <v>-0.05</v>
      </c>
      <c r="O129" s="90">
        <v>-14.29</v>
      </c>
      <c r="P129" s="148">
        <v>3555</v>
      </c>
      <c r="Q129" s="90">
        <v>0.81</v>
      </c>
      <c r="R129" s="77"/>
    </row>
    <row r="130" spans="3:18" s="61" customFormat="1" ht="42" thickBot="1">
      <c r="C130" s="72"/>
      <c r="D130" s="72" t="s">
        <v>0</v>
      </c>
      <c r="E130" s="73">
        <v>46238</v>
      </c>
      <c r="F130" s="72" t="s">
        <v>1</v>
      </c>
      <c r="G130" s="74">
        <v>25600</v>
      </c>
      <c r="H130" s="72">
        <v>1</v>
      </c>
      <c r="I130" s="72">
        <v>1</v>
      </c>
      <c r="J130" s="72">
        <v>0.75</v>
      </c>
      <c r="K130" s="72" t="s">
        <v>47</v>
      </c>
      <c r="L130" s="72">
        <v>0.95</v>
      </c>
      <c r="M130" s="75">
        <v>0.85</v>
      </c>
      <c r="N130" s="72">
        <v>-0.1</v>
      </c>
      <c r="O130" s="72">
        <v>-10.53</v>
      </c>
      <c r="P130" s="76">
        <v>4466</v>
      </c>
      <c r="Q130" s="72">
        <v>2.4700000000000002</v>
      </c>
      <c r="R130" s="77"/>
    </row>
    <row r="131" spans="3:18" ht="29.4" thickBot="1">
      <c r="C131" s="72"/>
      <c r="D131" s="90" t="s">
        <v>0</v>
      </c>
      <c r="E131" s="91">
        <v>46231</v>
      </c>
      <c r="F131" s="90" t="s">
        <v>1</v>
      </c>
      <c r="G131" s="92">
        <v>25600</v>
      </c>
      <c r="H131" s="90">
        <v>0.35</v>
      </c>
      <c r="I131" s="90">
        <v>0.35</v>
      </c>
      <c r="J131" s="90">
        <v>0.25</v>
      </c>
      <c r="K131" s="90" t="s">
        <v>47</v>
      </c>
      <c r="L131" s="90">
        <v>0.5</v>
      </c>
      <c r="M131" s="147">
        <v>0.3</v>
      </c>
      <c r="N131" s="90">
        <v>-0.2</v>
      </c>
      <c r="O131" s="90">
        <v>-40</v>
      </c>
      <c r="P131" s="148">
        <v>4574</v>
      </c>
      <c r="Q131" s="90">
        <v>0.92</v>
      </c>
      <c r="R131" s="77"/>
    </row>
    <row r="132" spans="3:18" ht="42" thickBot="1">
      <c r="C132" s="72"/>
      <c r="D132" s="72" t="s">
        <v>0</v>
      </c>
      <c r="E132" s="73">
        <v>46238</v>
      </c>
      <c r="F132" s="72" t="s">
        <v>1</v>
      </c>
      <c r="G132" s="74">
        <v>25650</v>
      </c>
      <c r="H132" s="72">
        <v>1.05</v>
      </c>
      <c r="I132" s="72">
        <v>1.25</v>
      </c>
      <c r="J132" s="72">
        <v>0.75</v>
      </c>
      <c r="K132" s="72" t="s">
        <v>47</v>
      </c>
      <c r="L132" s="72">
        <v>0.9</v>
      </c>
      <c r="M132" s="75">
        <v>0.85</v>
      </c>
      <c r="N132" s="72">
        <v>-0.05</v>
      </c>
      <c r="O132" s="72">
        <v>-5.56</v>
      </c>
      <c r="P132" s="76">
        <v>2006</v>
      </c>
      <c r="Q132" s="72">
        <v>1.1499999999999999</v>
      </c>
      <c r="R132" s="77"/>
    </row>
    <row r="133" spans="3:18" ht="29.4" thickBot="1">
      <c r="C133" s="72"/>
      <c r="D133" s="90" t="s">
        <v>0</v>
      </c>
      <c r="E133" s="91">
        <v>46231</v>
      </c>
      <c r="F133" s="90" t="s">
        <v>1</v>
      </c>
      <c r="G133" s="92">
        <v>25650</v>
      </c>
      <c r="H133" s="90">
        <v>0.4</v>
      </c>
      <c r="I133" s="90">
        <v>0.5</v>
      </c>
      <c r="J133" s="90">
        <v>0.35</v>
      </c>
      <c r="K133" s="90" t="s">
        <v>47</v>
      </c>
      <c r="L133" s="90">
        <v>0.45</v>
      </c>
      <c r="M133" s="147">
        <v>0.4</v>
      </c>
      <c r="N133" s="90">
        <v>-0.05</v>
      </c>
      <c r="O133" s="90">
        <v>-11.11</v>
      </c>
      <c r="P133" s="148">
        <v>1742</v>
      </c>
      <c r="Q133" s="90">
        <v>0.45</v>
      </c>
      <c r="R133" s="77"/>
    </row>
    <row r="134" spans="3:18" ht="42" thickBot="1">
      <c r="C134" s="72"/>
      <c r="D134" s="72" t="s">
        <v>0</v>
      </c>
      <c r="E134" s="73">
        <v>46238</v>
      </c>
      <c r="F134" s="72" t="s">
        <v>1</v>
      </c>
      <c r="G134" s="74">
        <v>25700</v>
      </c>
      <c r="H134" s="72">
        <v>0.9</v>
      </c>
      <c r="I134" s="72">
        <v>1.1499999999999999</v>
      </c>
      <c r="J134" s="72">
        <v>0.75</v>
      </c>
      <c r="K134" s="72" t="s">
        <v>47</v>
      </c>
      <c r="L134" s="72">
        <v>0.9</v>
      </c>
      <c r="M134" s="75">
        <v>0.8</v>
      </c>
      <c r="N134" s="72">
        <v>-0.1</v>
      </c>
      <c r="O134" s="72">
        <v>-11.11</v>
      </c>
      <c r="P134" s="76">
        <v>9888</v>
      </c>
      <c r="Q134" s="72">
        <v>5.27</v>
      </c>
      <c r="R134" s="77"/>
    </row>
    <row r="135" spans="3:18" ht="29.4" thickBot="1">
      <c r="C135" s="72"/>
      <c r="D135" s="90" t="s">
        <v>0</v>
      </c>
      <c r="E135" s="91">
        <v>46231</v>
      </c>
      <c r="F135" s="90" t="s">
        <v>1</v>
      </c>
      <c r="G135" s="92">
        <v>25700</v>
      </c>
      <c r="H135" s="90">
        <v>0.35</v>
      </c>
      <c r="I135" s="90">
        <v>0.4</v>
      </c>
      <c r="J135" s="90">
        <v>0.3</v>
      </c>
      <c r="K135" s="90" t="s">
        <v>47</v>
      </c>
      <c r="L135" s="90">
        <v>0.35</v>
      </c>
      <c r="M135" s="147">
        <v>0.4</v>
      </c>
      <c r="N135" s="90">
        <v>0.05</v>
      </c>
      <c r="O135" s="90">
        <v>14.29</v>
      </c>
      <c r="P135" s="148">
        <v>1319</v>
      </c>
      <c r="Q135" s="90">
        <v>0.28999999999999998</v>
      </c>
      <c r="R135" s="77"/>
    </row>
    <row r="136" spans="3:18" s="61" customFormat="1" ht="42" thickBot="1">
      <c r="C136" s="72"/>
      <c r="D136" s="72" t="s">
        <v>0</v>
      </c>
      <c r="E136" s="73">
        <v>46238</v>
      </c>
      <c r="F136" s="72" t="s">
        <v>1</v>
      </c>
      <c r="G136" s="74">
        <v>25750</v>
      </c>
      <c r="H136" s="72">
        <v>1.05</v>
      </c>
      <c r="I136" s="72">
        <v>1.05</v>
      </c>
      <c r="J136" s="72">
        <v>0.8</v>
      </c>
      <c r="K136" s="72" t="s">
        <v>47</v>
      </c>
      <c r="L136" s="72">
        <v>0.9</v>
      </c>
      <c r="M136" s="75">
        <v>0.8</v>
      </c>
      <c r="N136" s="72">
        <v>-0.1</v>
      </c>
      <c r="O136" s="72">
        <v>-11.11</v>
      </c>
      <c r="P136" s="72">
        <v>411</v>
      </c>
      <c r="Q136" s="72">
        <v>0.24</v>
      </c>
      <c r="R136" s="77"/>
    </row>
    <row r="137" spans="3:18" ht="29.4" thickBot="1">
      <c r="C137" s="72"/>
      <c r="D137" s="90" t="s">
        <v>0</v>
      </c>
      <c r="E137" s="91">
        <v>46231</v>
      </c>
      <c r="F137" s="90" t="s">
        <v>1</v>
      </c>
      <c r="G137" s="92">
        <v>25750</v>
      </c>
      <c r="H137" s="90">
        <v>0.35</v>
      </c>
      <c r="I137" s="90">
        <v>0.4</v>
      </c>
      <c r="J137" s="90">
        <v>0.3</v>
      </c>
      <c r="K137" s="90" t="s">
        <v>47</v>
      </c>
      <c r="L137" s="90">
        <v>0.45</v>
      </c>
      <c r="M137" s="147">
        <v>0.4</v>
      </c>
      <c r="N137" s="90">
        <v>-0.05</v>
      </c>
      <c r="O137" s="90">
        <v>-11.11</v>
      </c>
      <c r="P137" s="90">
        <v>475</v>
      </c>
      <c r="Q137" s="90">
        <v>0.11</v>
      </c>
      <c r="R137" s="77"/>
    </row>
    <row r="138" spans="3:18" ht="42" thickBot="1">
      <c r="C138" s="72"/>
      <c r="D138" s="72" t="s">
        <v>0</v>
      </c>
      <c r="E138" s="73">
        <v>46238</v>
      </c>
      <c r="F138" s="72" t="s">
        <v>1</v>
      </c>
      <c r="G138" s="74">
        <v>25800</v>
      </c>
      <c r="H138" s="72">
        <v>0.9</v>
      </c>
      <c r="I138" s="72">
        <v>1.05</v>
      </c>
      <c r="J138" s="72">
        <v>0.75</v>
      </c>
      <c r="K138" s="72" t="s">
        <v>47</v>
      </c>
      <c r="L138" s="72">
        <v>0.85</v>
      </c>
      <c r="M138" s="75">
        <v>0.8</v>
      </c>
      <c r="N138" s="72">
        <v>-0.05</v>
      </c>
      <c r="O138" s="72">
        <v>-5.88</v>
      </c>
      <c r="P138" s="76">
        <v>3013</v>
      </c>
      <c r="Q138" s="72">
        <v>1.78</v>
      </c>
      <c r="R138" s="77"/>
    </row>
    <row r="139" spans="3:18" ht="29.4" thickBot="1">
      <c r="C139" s="72"/>
      <c r="D139" s="90" t="s">
        <v>0</v>
      </c>
      <c r="E139" s="91">
        <v>46231</v>
      </c>
      <c r="F139" s="90" t="s">
        <v>1</v>
      </c>
      <c r="G139" s="92">
        <v>25800</v>
      </c>
      <c r="H139" s="90">
        <v>0.4</v>
      </c>
      <c r="I139" s="90">
        <v>0.45</v>
      </c>
      <c r="J139" s="90">
        <v>0.25</v>
      </c>
      <c r="K139" s="90" t="s">
        <v>47</v>
      </c>
      <c r="L139" s="90">
        <v>0.4</v>
      </c>
      <c r="M139" s="147">
        <v>0.35</v>
      </c>
      <c r="N139" s="90">
        <v>-0.05</v>
      </c>
      <c r="O139" s="90">
        <v>-12.5</v>
      </c>
      <c r="P139" s="148">
        <v>3282</v>
      </c>
      <c r="Q139" s="90">
        <v>0.7</v>
      </c>
      <c r="R139" s="77"/>
    </row>
    <row r="140" spans="3:18" ht="42" thickBot="1">
      <c r="C140" s="72"/>
      <c r="D140" s="72" t="s">
        <v>0</v>
      </c>
      <c r="E140" s="73">
        <v>46238</v>
      </c>
      <c r="F140" s="72" t="s">
        <v>1</v>
      </c>
      <c r="G140" s="74">
        <v>25850</v>
      </c>
      <c r="H140" s="72">
        <v>0.9</v>
      </c>
      <c r="I140" s="72">
        <v>0.95</v>
      </c>
      <c r="J140" s="72">
        <v>0.75</v>
      </c>
      <c r="K140" s="72" t="s">
        <v>47</v>
      </c>
      <c r="L140" s="72">
        <v>0.9</v>
      </c>
      <c r="M140" s="75">
        <v>0.8</v>
      </c>
      <c r="N140" s="72">
        <v>-0.1</v>
      </c>
      <c r="O140" s="72">
        <v>-11.11</v>
      </c>
      <c r="P140" s="72">
        <v>239</v>
      </c>
      <c r="Q140" s="72">
        <v>0.13</v>
      </c>
      <c r="R140" s="77"/>
    </row>
    <row r="141" spans="3:18" ht="29.4" thickBot="1">
      <c r="C141" s="72"/>
      <c r="D141" s="90" t="s">
        <v>0</v>
      </c>
      <c r="E141" s="91">
        <v>46231</v>
      </c>
      <c r="F141" s="90" t="s">
        <v>1</v>
      </c>
      <c r="G141" s="92">
        <v>25850</v>
      </c>
      <c r="H141" s="90">
        <v>0.4</v>
      </c>
      <c r="I141" s="90">
        <v>0.45</v>
      </c>
      <c r="J141" s="90">
        <v>0.35</v>
      </c>
      <c r="K141" s="90" t="s">
        <v>47</v>
      </c>
      <c r="L141" s="90">
        <v>0.4</v>
      </c>
      <c r="M141" s="147">
        <v>0.4</v>
      </c>
      <c r="N141" s="90">
        <v>0</v>
      </c>
      <c r="O141" s="90">
        <v>0</v>
      </c>
      <c r="P141" s="90">
        <v>223</v>
      </c>
      <c r="Q141" s="90">
        <v>0.06</v>
      </c>
      <c r="R141" s="77"/>
    </row>
    <row r="142" spans="3:18" ht="42" thickBot="1">
      <c r="C142" s="72"/>
      <c r="D142" s="72" t="s">
        <v>0</v>
      </c>
      <c r="E142" s="73">
        <v>46238</v>
      </c>
      <c r="F142" s="72" t="s">
        <v>1</v>
      </c>
      <c r="G142" s="74">
        <v>25900</v>
      </c>
      <c r="H142" s="72">
        <v>1.1499999999999999</v>
      </c>
      <c r="I142" s="72">
        <v>1.1499999999999999</v>
      </c>
      <c r="J142" s="72">
        <v>0.75</v>
      </c>
      <c r="K142" s="72" t="s">
        <v>47</v>
      </c>
      <c r="L142" s="72">
        <v>0.9</v>
      </c>
      <c r="M142" s="75">
        <v>0.75</v>
      </c>
      <c r="N142" s="72">
        <v>-0.15</v>
      </c>
      <c r="O142" s="72">
        <v>-16.670000000000002</v>
      </c>
      <c r="P142" s="76">
        <v>2455</v>
      </c>
      <c r="Q142" s="72">
        <v>1.44</v>
      </c>
      <c r="R142" s="77"/>
    </row>
    <row r="143" spans="3:18" ht="28.8">
      <c r="C143" s="62" t="s">
        <v>35</v>
      </c>
      <c r="D143" s="153" t="s">
        <v>0</v>
      </c>
      <c r="E143" s="154">
        <v>46231</v>
      </c>
      <c r="F143" s="153" t="s">
        <v>1</v>
      </c>
      <c r="G143" s="155">
        <v>25900</v>
      </c>
      <c r="H143" s="153">
        <v>0.3</v>
      </c>
      <c r="I143" s="153">
        <v>0.4</v>
      </c>
      <c r="J143" s="153">
        <v>0.3</v>
      </c>
      <c r="K143" s="153" t="s">
        <v>47</v>
      </c>
      <c r="L143" s="153">
        <v>0.4</v>
      </c>
      <c r="M143" s="157">
        <v>0.35</v>
      </c>
      <c r="N143" s="153">
        <v>-0.05</v>
      </c>
      <c r="O143" s="153">
        <v>-12.5</v>
      </c>
      <c r="P143" s="153">
        <v>549</v>
      </c>
      <c r="Q143" s="153">
        <v>0.12</v>
      </c>
      <c r="R143" s="57"/>
    </row>
    <row r="144" spans="3:18" ht="42" thickBot="1">
      <c r="C144" s="90"/>
      <c r="D144" s="72" t="s">
        <v>0</v>
      </c>
      <c r="E144" s="73">
        <v>46238</v>
      </c>
      <c r="F144" s="72" t="s">
        <v>1</v>
      </c>
      <c r="G144" s="74">
        <v>25950</v>
      </c>
      <c r="H144" s="72">
        <v>0.85</v>
      </c>
      <c r="I144" s="72">
        <v>1</v>
      </c>
      <c r="J144" s="72">
        <v>0.75</v>
      </c>
      <c r="K144" s="72" t="s">
        <v>47</v>
      </c>
      <c r="L144" s="72">
        <v>0.85</v>
      </c>
      <c r="M144" s="75">
        <v>0.8</v>
      </c>
      <c r="N144" s="72">
        <v>-0.05</v>
      </c>
      <c r="O144" s="72">
        <v>-5.88</v>
      </c>
      <c r="P144" s="72">
        <v>721</v>
      </c>
      <c r="Q144" s="72">
        <v>0.43</v>
      </c>
      <c r="R144" s="77"/>
    </row>
    <row r="145" spans="3:18" ht="29.4" thickBot="1">
      <c r="C145" s="90"/>
      <c r="D145" s="90" t="s">
        <v>0</v>
      </c>
      <c r="E145" s="91">
        <v>46231</v>
      </c>
      <c r="F145" s="90" t="s">
        <v>1</v>
      </c>
      <c r="G145" s="92">
        <v>25950</v>
      </c>
      <c r="H145" s="90">
        <v>0.35</v>
      </c>
      <c r="I145" s="90">
        <v>0.55000000000000004</v>
      </c>
      <c r="J145" s="90">
        <v>0.3</v>
      </c>
      <c r="K145" s="90" t="s">
        <v>47</v>
      </c>
      <c r="L145" s="90">
        <v>0.4</v>
      </c>
      <c r="M145" s="147">
        <v>0.35</v>
      </c>
      <c r="N145" s="90">
        <v>-0.05</v>
      </c>
      <c r="O145" s="90">
        <v>-12.5</v>
      </c>
      <c r="P145" s="148">
        <v>1113</v>
      </c>
      <c r="Q145" s="90">
        <v>0.3</v>
      </c>
      <c r="R145" s="77"/>
    </row>
    <row r="146" spans="3:18" ht="42" thickBot="1">
      <c r="C146" s="90"/>
      <c r="D146" s="72" t="s">
        <v>0</v>
      </c>
      <c r="E146" s="73">
        <v>46238</v>
      </c>
      <c r="F146" s="72" t="s">
        <v>1</v>
      </c>
      <c r="G146" s="74">
        <v>26000</v>
      </c>
      <c r="H146" s="72">
        <v>0.8</v>
      </c>
      <c r="I146" s="72">
        <v>0.85</v>
      </c>
      <c r="J146" s="72">
        <v>0.65</v>
      </c>
      <c r="K146" s="72" t="s">
        <v>47</v>
      </c>
      <c r="L146" s="72">
        <v>0.8</v>
      </c>
      <c r="M146" s="75">
        <v>0.75</v>
      </c>
      <c r="N146" s="72">
        <v>-0.05</v>
      </c>
      <c r="O146" s="72">
        <v>-6.25</v>
      </c>
      <c r="P146" s="76">
        <v>19846</v>
      </c>
      <c r="Q146" s="72">
        <v>9.2899999999999991</v>
      </c>
      <c r="R146" s="77"/>
    </row>
    <row r="147" spans="3:18" ht="42" thickBot="1">
      <c r="C147" s="90"/>
      <c r="D147" s="72" t="s">
        <v>0</v>
      </c>
      <c r="E147" s="73">
        <v>46238</v>
      </c>
      <c r="F147" s="72" t="s">
        <v>20</v>
      </c>
      <c r="G147" s="74">
        <v>26000</v>
      </c>
      <c r="H147" s="74">
        <v>1810</v>
      </c>
      <c r="I147" s="74">
        <v>1810</v>
      </c>
      <c r="J147" s="74">
        <v>1794</v>
      </c>
      <c r="K147" s="72" t="s">
        <v>47</v>
      </c>
      <c r="L147" s="74">
        <v>1958.7</v>
      </c>
      <c r="M147" s="78">
        <v>1795</v>
      </c>
      <c r="N147" s="72">
        <v>-163.69999999999999</v>
      </c>
      <c r="O147" s="72">
        <v>-8.36</v>
      </c>
      <c r="P147" s="72">
        <v>30</v>
      </c>
      <c r="Q147" s="72">
        <v>35.130000000000003</v>
      </c>
      <c r="R147" s="77"/>
    </row>
    <row r="148" spans="3:18" ht="29.4" thickBot="1">
      <c r="C148" s="90"/>
      <c r="D148" s="90" t="s">
        <v>0</v>
      </c>
      <c r="E148" s="91">
        <v>46231</v>
      </c>
      <c r="F148" s="90" t="s">
        <v>1</v>
      </c>
      <c r="G148" s="92">
        <v>26000</v>
      </c>
      <c r="H148" s="90">
        <v>0.35</v>
      </c>
      <c r="I148" s="90">
        <v>0.4</v>
      </c>
      <c r="J148" s="90">
        <v>0.25</v>
      </c>
      <c r="K148" s="90" t="s">
        <v>47</v>
      </c>
      <c r="L148" s="90">
        <v>0.35</v>
      </c>
      <c r="M148" s="147">
        <v>0.3</v>
      </c>
      <c r="N148" s="90">
        <v>-0.05</v>
      </c>
      <c r="O148" s="90">
        <v>-14.29</v>
      </c>
      <c r="P148" s="148">
        <v>5999</v>
      </c>
      <c r="Q148" s="90">
        <v>1.21</v>
      </c>
      <c r="R148" s="77"/>
    </row>
    <row r="149" spans="3:18" ht="29.4" thickBot="1">
      <c r="C149" s="90"/>
      <c r="D149" s="90" t="s">
        <v>0</v>
      </c>
      <c r="E149" s="91">
        <v>46231</v>
      </c>
      <c r="F149" s="90" t="s">
        <v>20</v>
      </c>
      <c r="G149" s="92">
        <v>26000</v>
      </c>
      <c r="H149" s="92">
        <v>2000.05</v>
      </c>
      <c r="I149" s="92">
        <v>2002.7</v>
      </c>
      <c r="J149" s="92">
        <v>1990</v>
      </c>
      <c r="K149" s="90" t="s">
        <v>47</v>
      </c>
      <c r="L149" s="92">
        <v>1985.7</v>
      </c>
      <c r="M149" s="149">
        <v>1990</v>
      </c>
      <c r="N149" s="90">
        <v>4.3</v>
      </c>
      <c r="O149" s="90">
        <v>0.22</v>
      </c>
      <c r="P149" s="90">
        <v>178</v>
      </c>
      <c r="Q149" s="90">
        <v>231.15</v>
      </c>
      <c r="R149" s="77"/>
    </row>
    <row r="150" spans="3:18" ht="42" thickBot="1">
      <c r="C150" s="90"/>
      <c r="D150" s="72" t="s">
        <v>0</v>
      </c>
      <c r="E150" s="73">
        <v>46238</v>
      </c>
      <c r="F150" s="72" t="s">
        <v>1</v>
      </c>
      <c r="G150" s="74">
        <v>26050</v>
      </c>
      <c r="H150" s="72">
        <v>0.85</v>
      </c>
      <c r="I150" s="72">
        <v>0.9</v>
      </c>
      <c r="J150" s="72">
        <v>0.7</v>
      </c>
      <c r="K150" s="72" t="s">
        <v>47</v>
      </c>
      <c r="L150" s="72">
        <v>0.85</v>
      </c>
      <c r="M150" s="75">
        <v>0.7</v>
      </c>
      <c r="N150" s="72">
        <v>-0.15</v>
      </c>
      <c r="O150" s="72">
        <v>-17.649999999999999</v>
      </c>
      <c r="P150" s="72">
        <v>258</v>
      </c>
      <c r="Q150" s="72">
        <v>0.13</v>
      </c>
      <c r="R150" s="77"/>
    </row>
    <row r="151" spans="3:18" ht="29.4" thickBot="1">
      <c r="C151" s="90"/>
      <c r="D151" s="90" t="s">
        <v>0</v>
      </c>
      <c r="E151" s="91">
        <v>46231</v>
      </c>
      <c r="F151" s="90" t="s">
        <v>1</v>
      </c>
      <c r="G151" s="92">
        <v>26050</v>
      </c>
      <c r="H151" s="90">
        <v>0.4</v>
      </c>
      <c r="I151" s="90">
        <v>0.4</v>
      </c>
      <c r="J151" s="90">
        <v>0.25</v>
      </c>
      <c r="K151" s="90" t="s">
        <v>47</v>
      </c>
      <c r="L151" s="90">
        <v>0.45</v>
      </c>
      <c r="M151" s="147">
        <v>0.3</v>
      </c>
      <c r="N151" s="90">
        <v>-0.15</v>
      </c>
      <c r="O151" s="90">
        <v>-33.33</v>
      </c>
      <c r="P151" s="90">
        <v>297</v>
      </c>
      <c r="Q151" s="90">
        <v>0.06</v>
      </c>
      <c r="R151" s="77"/>
    </row>
    <row r="152" spans="3:18" ht="42" thickBot="1">
      <c r="C152" s="90"/>
      <c r="D152" s="72" t="s">
        <v>0</v>
      </c>
      <c r="E152" s="73">
        <v>46238</v>
      </c>
      <c r="F152" s="72" t="s">
        <v>1</v>
      </c>
      <c r="G152" s="74">
        <v>26100</v>
      </c>
      <c r="H152" s="72">
        <v>0.75</v>
      </c>
      <c r="I152" s="72">
        <v>0.8</v>
      </c>
      <c r="J152" s="72">
        <v>0.7</v>
      </c>
      <c r="K152" s="72" t="s">
        <v>47</v>
      </c>
      <c r="L152" s="72">
        <v>0.8</v>
      </c>
      <c r="M152" s="75">
        <v>0.75</v>
      </c>
      <c r="N152" s="72">
        <v>-0.05</v>
      </c>
      <c r="O152" s="72">
        <v>-6.25</v>
      </c>
      <c r="P152" s="72">
        <v>792</v>
      </c>
      <c r="Q152" s="72">
        <v>0.39</v>
      </c>
      <c r="R152" s="77"/>
    </row>
    <row r="153" spans="3:18" ht="29.4" thickBot="1">
      <c r="C153" s="90"/>
      <c r="D153" s="90" t="s">
        <v>0</v>
      </c>
      <c r="E153" s="91">
        <v>46231</v>
      </c>
      <c r="F153" s="90" t="s">
        <v>1</v>
      </c>
      <c r="G153" s="92">
        <v>26100</v>
      </c>
      <c r="H153" s="90">
        <v>0.2</v>
      </c>
      <c r="I153" s="90">
        <v>0.3</v>
      </c>
      <c r="J153" s="90">
        <v>0.2</v>
      </c>
      <c r="K153" s="90" t="s">
        <v>47</v>
      </c>
      <c r="L153" s="90">
        <v>0.35</v>
      </c>
      <c r="M153" s="147">
        <v>0.3</v>
      </c>
      <c r="N153" s="90">
        <v>-0.05</v>
      </c>
      <c r="O153" s="90">
        <v>-14.29</v>
      </c>
      <c r="P153" s="90">
        <v>192</v>
      </c>
      <c r="Q153" s="90">
        <v>0.03</v>
      </c>
      <c r="R153" s="77"/>
    </row>
    <row r="154" spans="3:18" ht="42" thickBot="1">
      <c r="C154" s="90"/>
      <c r="D154" s="72" t="s">
        <v>0</v>
      </c>
      <c r="E154" s="73">
        <v>46238</v>
      </c>
      <c r="F154" s="72" t="s">
        <v>1</v>
      </c>
      <c r="G154" s="74">
        <v>26150</v>
      </c>
      <c r="H154" s="72">
        <v>0.95</v>
      </c>
      <c r="I154" s="72">
        <v>0.95</v>
      </c>
      <c r="J154" s="72">
        <v>0.7</v>
      </c>
      <c r="K154" s="72" t="s">
        <v>47</v>
      </c>
      <c r="L154" s="72">
        <v>0.8</v>
      </c>
      <c r="M154" s="75">
        <v>0.8</v>
      </c>
      <c r="N154" s="72">
        <v>0</v>
      </c>
      <c r="O154" s="72">
        <v>0</v>
      </c>
      <c r="P154" s="72">
        <v>597</v>
      </c>
      <c r="Q154" s="72">
        <v>0.31</v>
      </c>
      <c r="R154" s="77"/>
    </row>
    <row r="155" spans="3:18" ht="29.4" thickBot="1">
      <c r="C155" s="90"/>
      <c r="D155" s="90" t="s">
        <v>0</v>
      </c>
      <c r="E155" s="91">
        <v>46231</v>
      </c>
      <c r="F155" s="90" t="s">
        <v>1</v>
      </c>
      <c r="G155" s="92">
        <v>26150</v>
      </c>
      <c r="H155" s="90">
        <v>0.4</v>
      </c>
      <c r="I155" s="90">
        <v>0.45</v>
      </c>
      <c r="J155" s="90">
        <v>0.3</v>
      </c>
      <c r="K155" s="90" t="s">
        <v>47</v>
      </c>
      <c r="L155" s="90">
        <v>0.4</v>
      </c>
      <c r="M155" s="147">
        <v>0.35</v>
      </c>
      <c r="N155" s="90">
        <v>-0.05</v>
      </c>
      <c r="O155" s="90">
        <v>-12.5</v>
      </c>
      <c r="P155" s="90">
        <v>340</v>
      </c>
      <c r="Q155" s="90">
        <v>0.08</v>
      </c>
      <c r="R155" s="77"/>
    </row>
    <row r="156" spans="3:18" ht="42" thickBot="1">
      <c r="C156" s="90"/>
      <c r="D156" s="72" t="s">
        <v>0</v>
      </c>
      <c r="E156" s="73">
        <v>46238</v>
      </c>
      <c r="F156" s="72" t="s">
        <v>1</v>
      </c>
      <c r="G156" s="74">
        <v>26200</v>
      </c>
      <c r="H156" s="72">
        <v>0.8</v>
      </c>
      <c r="I156" s="72">
        <v>0.8</v>
      </c>
      <c r="J156" s="72">
        <v>0.65</v>
      </c>
      <c r="K156" s="72" t="s">
        <v>47</v>
      </c>
      <c r="L156" s="72">
        <v>0.75</v>
      </c>
      <c r="M156" s="75">
        <v>0.7</v>
      </c>
      <c r="N156" s="72">
        <v>-0.05</v>
      </c>
      <c r="O156" s="72">
        <v>-6.67</v>
      </c>
      <c r="P156" s="76">
        <v>8080</v>
      </c>
      <c r="Q156" s="72">
        <v>3.73</v>
      </c>
      <c r="R156" s="77"/>
    </row>
    <row r="157" spans="3:18" ht="42" thickBot="1">
      <c r="C157" s="90"/>
      <c r="D157" s="72" t="s">
        <v>0</v>
      </c>
      <c r="E157" s="73">
        <v>46238</v>
      </c>
      <c r="F157" s="72" t="s">
        <v>20</v>
      </c>
      <c r="G157" s="74">
        <v>26200</v>
      </c>
      <c r="H157" s="74">
        <v>2152.9</v>
      </c>
      <c r="I157" s="74">
        <v>2152.9</v>
      </c>
      <c r="J157" s="74">
        <v>2013.55</v>
      </c>
      <c r="K157" s="72" t="s">
        <v>47</v>
      </c>
      <c r="L157" s="74">
        <v>2160</v>
      </c>
      <c r="M157" s="78">
        <v>2013.55</v>
      </c>
      <c r="N157" s="72">
        <v>-146.44999999999999</v>
      </c>
      <c r="O157" s="72">
        <v>-6.78</v>
      </c>
      <c r="P157" s="72">
        <v>13</v>
      </c>
      <c r="Q157" s="72">
        <v>17.95</v>
      </c>
      <c r="R157" s="77"/>
    </row>
    <row r="158" spans="3:18" ht="29.4" thickBot="1">
      <c r="C158" s="90"/>
      <c r="D158" s="90" t="s">
        <v>0</v>
      </c>
      <c r="E158" s="91">
        <v>46231</v>
      </c>
      <c r="F158" s="90" t="s">
        <v>1</v>
      </c>
      <c r="G158" s="92">
        <v>26200</v>
      </c>
      <c r="H158" s="90">
        <v>0.35</v>
      </c>
      <c r="I158" s="90">
        <v>0.35</v>
      </c>
      <c r="J158" s="90">
        <v>0.2</v>
      </c>
      <c r="K158" s="90" t="s">
        <v>47</v>
      </c>
      <c r="L158" s="90">
        <v>0.3</v>
      </c>
      <c r="M158" s="147">
        <v>0.3</v>
      </c>
      <c r="N158" s="90">
        <v>0</v>
      </c>
      <c r="O158" s="90">
        <v>0</v>
      </c>
      <c r="P158" s="90">
        <v>779</v>
      </c>
      <c r="Q158" s="90">
        <v>0.14000000000000001</v>
      </c>
      <c r="R158" s="77"/>
    </row>
    <row r="159" spans="3:18" ht="42" thickBot="1">
      <c r="C159" s="90"/>
      <c r="D159" s="72" t="s">
        <v>0</v>
      </c>
      <c r="E159" s="73">
        <v>46231</v>
      </c>
      <c r="F159" s="72" t="s">
        <v>20</v>
      </c>
      <c r="G159" s="74">
        <v>26200</v>
      </c>
      <c r="H159" s="74">
        <v>2467.75</v>
      </c>
      <c r="I159" s="74">
        <v>2467.75</v>
      </c>
      <c r="J159" s="74">
        <v>2467.6999999999998</v>
      </c>
      <c r="K159" s="72" t="s">
        <v>47</v>
      </c>
      <c r="L159" s="74">
        <v>2325.8000000000002</v>
      </c>
      <c r="M159" s="78">
        <v>2467.6999999999998</v>
      </c>
      <c r="N159" s="72">
        <v>141.9</v>
      </c>
      <c r="O159" s="72">
        <v>6.1</v>
      </c>
      <c r="P159" s="72">
        <v>3</v>
      </c>
      <c r="Q159" s="72">
        <v>4.8099999999999996</v>
      </c>
      <c r="R159" s="77"/>
    </row>
    <row r="160" spans="3:18" ht="29.4" thickBot="1">
      <c r="C160" s="90"/>
      <c r="D160" s="90" t="s">
        <v>0</v>
      </c>
      <c r="E160" s="91">
        <v>46231</v>
      </c>
      <c r="F160" s="90" t="s">
        <v>1</v>
      </c>
      <c r="G160" s="92">
        <v>26250</v>
      </c>
      <c r="H160" s="90">
        <v>0.3</v>
      </c>
      <c r="I160" s="90">
        <v>0.3</v>
      </c>
      <c r="J160" s="90">
        <v>0.25</v>
      </c>
      <c r="K160" s="90" t="s">
        <v>47</v>
      </c>
      <c r="L160" s="90">
        <v>0.35</v>
      </c>
      <c r="M160" s="147">
        <v>0.25</v>
      </c>
      <c r="N160" s="90">
        <v>-0.1</v>
      </c>
      <c r="O160" s="90">
        <v>-28.57</v>
      </c>
      <c r="P160" s="90">
        <v>454</v>
      </c>
      <c r="Q160" s="90">
        <v>0.08</v>
      </c>
      <c r="R160" s="77"/>
    </row>
    <row r="161" spans="3:18" ht="42" thickBot="1">
      <c r="C161" s="90"/>
      <c r="D161" s="72" t="s">
        <v>0</v>
      </c>
      <c r="E161" s="73">
        <v>46231</v>
      </c>
      <c r="F161" s="72" t="s">
        <v>1</v>
      </c>
      <c r="G161" s="74">
        <v>26250</v>
      </c>
      <c r="H161" s="72">
        <v>0.45</v>
      </c>
      <c r="I161" s="72">
        <v>0.45</v>
      </c>
      <c r="J161" s="72">
        <v>0.4</v>
      </c>
      <c r="K161" s="72" t="s">
        <v>47</v>
      </c>
      <c r="L161" s="72">
        <v>0.45</v>
      </c>
      <c r="M161" s="75">
        <v>0.4</v>
      </c>
      <c r="N161" s="72">
        <v>-0.05</v>
      </c>
      <c r="O161" s="72">
        <v>-11.11</v>
      </c>
      <c r="P161" s="72">
        <v>287</v>
      </c>
      <c r="Q161" s="72">
        <v>0.08</v>
      </c>
      <c r="R161" s="77"/>
    </row>
    <row r="162" spans="3:18" ht="42" thickBot="1">
      <c r="C162" s="90"/>
      <c r="D162" s="72" t="s">
        <v>0</v>
      </c>
      <c r="E162" s="73">
        <v>46231</v>
      </c>
      <c r="F162" s="72" t="s">
        <v>1</v>
      </c>
      <c r="G162" s="74">
        <v>26250</v>
      </c>
      <c r="H162" s="72">
        <v>0.7</v>
      </c>
      <c r="I162" s="72">
        <v>1.1000000000000001</v>
      </c>
      <c r="J162" s="72">
        <v>0.6</v>
      </c>
      <c r="K162" s="72" t="s">
        <v>47</v>
      </c>
      <c r="L162" s="72">
        <v>0.65</v>
      </c>
      <c r="M162" s="75">
        <v>0.75</v>
      </c>
      <c r="N162" s="72">
        <v>0.1</v>
      </c>
      <c r="O162" s="72">
        <v>15.38</v>
      </c>
      <c r="P162" s="76">
        <v>6545</v>
      </c>
      <c r="Q162" s="72">
        <v>3.06</v>
      </c>
      <c r="R162" s="77"/>
    </row>
    <row r="163" spans="3:18" ht="28.8">
      <c r="C163" s="150" t="s">
        <v>35</v>
      </c>
      <c r="D163" s="153" t="s">
        <v>0</v>
      </c>
      <c r="E163" s="154">
        <v>46231</v>
      </c>
      <c r="F163" s="153" t="s">
        <v>1</v>
      </c>
      <c r="G163" s="155">
        <v>26300</v>
      </c>
      <c r="H163" s="153">
        <v>0.3</v>
      </c>
      <c r="I163" s="153">
        <v>0.3</v>
      </c>
      <c r="J163" s="153">
        <v>0.2</v>
      </c>
      <c r="K163" s="153" t="s">
        <v>47</v>
      </c>
      <c r="L163" s="153">
        <v>0.35</v>
      </c>
      <c r="M163" s="157">
        <v>0.25</v>
      </c>
      <c r="N163" s="153">
        <v>-0.1</v>
      </c>
      <c r="O163" s="153">
        <v>-28.57</v>
      </c>
      <c r="P163" s="158">
        <v>1851</v>
      </c>
      <c r="Q163" s="153">
        <v>0.28000000000000003</v>
      </c>
      <c r="R163" s="57"/>
    </row>
    <row r="164" spans="3:18" ht="28.8">
      <c r="C164" s="151" t="s">
        <v>52</v>
      </c>
      <c r="D164" s="153" t="s">
        <v>0</v>
      </c>
      <c r="E164" s="154">
        <v>46231</v>
      </c>
      <c r="F164" s="153" t="s">
        <v>20</v>
      </c>
      <c r="G164" s="155">
        <v>26300</v>
      </c>
      <c r="H164" s="155">
        <v>2310.0500000000002</v>
      </c>
      <c r="I164" s="155">
        <v>2310.35</v>
      </c>
      <c r="J164" s="155">
        <v>2280</v>
      </c>
      <c r="K164" s="153" t="s">
        <v>47</v>
      </c>
      <c r="L164" s="155">
        <v>2279.35</v>
      </c>
      <c r="M164" s="156">
        <v>2280</v>
      </c>
      <c r="N164" s="153">
        <v>0.65</v>
      </c>
      <c r="O164" s="153">
        <v>0.03</v>
      </c>
      <c r="P164" s="153">
        <v>63</v>
      </c>
      <c r="Q164" s="153">
        <v>94.24</v>
      </c>
      <c r="R164" s="57"/>
    </row>
    <row r="165" spans="3:18" ht="69.599999999999994">
      <c r="C165" s="152" t="s">
        <v>53</v>
      </c>
      <c r="D165" s="79" t="s">
        <v>0</v>
      </c>
      <c r="E165" s="133">
        <v>46231</v>
      </c>
      <c r="F165" s="79" t="s">
        <v>1</v>
      </c>
      <c r="G165" s="134">
        <v>26300</v>
      </c>
      <c r="H165" s="79">
        <v>0.45</v>
      </c>
      <c r="I165" s="79">
        <v>0.45</v>
      </c>
      <c r="J165" s="79">
        <v>0.4</v>
      </c>
      <c r="K165" s="79" t="s">
        <v>47</v>
      </c>
      <c r="L165" s="79">
        <v>0.45</v>
      </c>
      <c r="M165" s="138">
        <v>0.45</v>
      </c>
      <c r="N165" s="79">
        <v>0</v>
      </c>
      <c r="O165" s="79">
        <v>0</v>
      </c>
      <c r="P165" s="136">
        <v>3608</v>
      </c>
      <c r="Q165" s="79">
        <v>0.98</v>
      </c>
      <c r="R165" s="57"/>
    </row>
    <row r="166" spans="3:18" ht="42" thickBot="1">
      <c r="C166" s="72"/>
      <c r="D166" s="72" t="s">
        <v>0</v>
      </c>
      <c r="E166" s="73">
        <v>46231</v>
      </c>
      <c r="F166" s="72" t="s">
        <v>20</v>
      </c>
      <c r="G166" s="74">
        <v>26300</v>
      </c>
      <c r="H166" s="74">
        <v>2345</v>
      </c>
      <c r="I166" s="74">
        <v>2383.15</v>
      </c>
      <c r="J166" s="74">
        <v>2339.9499999999998</v>
      </c>
      <c r="K166" s="72" t="s">
        <v>47</v>
      </c>
      <c r="L166" s="74">
        <v>2501.65</v>
      </c>
      <c r="M166" s="78">
        <v>2360</v>
      </c>
      <c r="N166" s="72">
        <v>-141.65</v>
      </c>
      <c r="O166" s="72">
        <v>-5.66</v>
      </c>
      <c r="P166" s="72">
        <v>6</v>
      </c>
      <c r="Q166" s="72">
        <v>9.18</v>
      </c>
      <c r="R166" s="77"/>
    </row>
    <row r="167" spans="3:18" ht="42" thickBot="1">
      <c r="C167" s="72"/>
      <c r="D167" s="72" t="s">
        <v>0</v>
      </c>
      <c r="E167" s="73">
        <v>46231</v>
      </c>
      <c r="F167" s="72" t="s">
        <v>1</v>
      </c>
      <c r="G167" s="74">
        <v>26300</v>
      </c>
      <c r="H167" s="72">
        <v>0.6</v>
      </c>
      <c r="I167" s="72">
        <v>0.85</v>
      </c>
      <c r="J167" s="72">
        <v>0.5</v>
      </c>
      <c r="K167" s="72" t="s">
        <v>47</v>
      </c>
      <c r="L167" s="72">
        <v>0.65</v>
      </c>
      <c r="M167" s="75">
        <v>0.8</v>
      </c>
      <c r="N167" s="72">
        <v>0.15</v>
      </c>
      <c r="O167" s="72">
        <v>23.08</v>
      </c>
      <c r="P167" s="76">
        <v>29727</v>
      </c>
      <c r="Q167" s="72">
        <v>12.56</v>
      </c>
      <c r="R167" s="77"/>
    </row>
    <row r="168" spans="3:18" ht="42" thickBot="1">
      <c r="C168" s="72"/>
      <c r="D168" s="72" t="s">
        <v>0</v>
      </c>
      <c r="E168" s="73">
        <v>46231</v>
      </c>
      <c r="F168" s="72" t="s">
        <v>20</v>
      </c>
      <c r="G168" s="74">
        <v>26300</v>
      </c>
      <c r="H168" s="74">
        <v>2600</v>
      </c>
      <c r="I168" s="74">
        <v>2659.8</v>
      </c>
      <c r="J168" s="74">
        <v>2540</v>
      </c>
      <c r="K168" s="72" t="s">
        <v>47</v>
      </c>
      <c r="L168" s="74">
        <v>2420.35</v>
      </c>
      <c r="M168" s="78">
        <v>2650</v>
      </c>
      <c r="N168" s="72">
        <v>229.65</v>
      </c>
      <c r="O168" s="72">
        <v>9.49</v>
      </c>
      <c r="P168" s="72">
        <v>167</v>
      </c>
      <c r="Q168" s="72">
        <v>283.91000000000003</v>
      </c>
      <c r="R168" s="77"/>
    </row>
    <row r="169" spans="3:18" ht="15" thickBot="1">
      <c r="C169" s="72"/>
      <c r="D169" s="86"/>
      <c r="E169" s="86"/>
      <c r="F169" s="86"/>
      <c r="G169" s="86"/>
      <c r="H169" s="86"/>
      <c r="I169" s="86"/>
      <c r="J169" s="86"/>
      <c r="K169" s="86"/>
      <c r="L169" s="86"/>
      <c r="M169" s="86"/>
      <c r="N169" s="86"/>
      <c r="O169" s="86"/>
      <c r="P169" s="86"/>
      <c r="Q169" s="86"/>
      <c r="R169" s="86"/>
    </row>
    <row r="170" spans="3:18" ht="15" thickBot="1">
      <c r="C170" s="72"/>
      <c r="D170" s="86"/>
      <c r="E170" s="86"/>
      <c r="F170" s="86"/>
      <c r="G170" s="86"/>
      <c r="H170" s="86"/>
      <c r="I170" s="86"/>
      <c r="J170" s="86"/>
      <c r="K170" s="86"/>
      <c r="L170" s="86"/>
      <c r="M170" s="86"/>
      <c r="N170" s="86"/>
      <c r="O170" s="86"/>
      <c r="P170" s="86"/>
      <c r="Q170" s="86"/>
      <c r="R170" s="86"/>
    </row>
    <row r="171" spans="3:18" ht="15" thickBot="1">
      <c r="C171" s="72"/>
      <c r="D171" s="86"/>
      <c r="E171" s="86"/>
      <c r="F171" s="86"/>
      <c r="G171" s="86"/>
      <c r="H171" s="86"/>
      <c r="I171" s="86"/>
      <c r="J171" s="86"/>
      <c r="K171" s="86"/>
      <c r="L171" s="86"/>
      <c r="M171" s="86"/>
      <c r="N171" s="86"/>
      <c r="O171" s="86"/>
      <c r="P171" s="86"/>
      <c r="Q171" s="86"/>
      <c r="R171" s="86"/>
    </row>
    <row r="172" spans="3:18" ht="15" thickBot="1">
      <c r="C172" s="72"/>
      <c r="D172" s="86"/>
      <c r="E172" s="86"/>
      <c r="F172" s="86"/>
      <c r="G172" s="86"/>
      <c r="H172" s="86"/>
      <c r="I172" s="86"/>
      <c r="J172" s="86"/>
      <c r="K172" s="86"/>
      <c r="L172" s="86"/>
      <c r="M172" s="86"/>
      <c r="N172" s="86"/>
      <c r="O172" s="86"/>
      <c r="P172" s="86"/>
      <c r="Q172" s="86"/>
      <c r="R172" s="86"/>
    </row>
    <row r="173" spans="3:18" ht="15" thickBot="1">
      <c r="C173" s="72"/>
      <c r="D173" s="86"/>
      <c r="E173" s="86"/>
      <c r="F173" s="86"/>
      <c r="G173" s="86"/>
      <c r="H173" s="86"/>
      <c r="I173" s="86"/>
      <c r="J173" s="86"/>
      <c r="K173" s="86"/>
      <c r="L173" s="86"/>
      <c r="M173" s="86"/>
      <c r="N173" s="86"/>
      <c r="O173" s="86"/>
      <c r="P173" s="86"/>
      <c r="Q173" s="86"/>
      <c r="R173" s="86"/>
    </row>
    <row r="174" spans="3:18" ht="15.6">
      <c r="C174" s="62" t="s">
        <v>35</v>
      </c>
      <c r="H174"/>
      <c r="K174"/>
      <c r="L174"/>
    </row>
    <row r="175" spans="3:18">
      <c r="H175"/>
      <c r="K175"/>
      <c r="L175"/>
    </row>
    <row r="176" spans="3:18">
      <c r="H176"/>
      <c r="K176"/>
      <c r="L176"/>
    </row>
    <row r="177" customFormat="1"/>
    <row r="178" customFormat="1"/>
    <row r="179" customFormat="1"/>
    <row r="180" customFormat="1"/>
    <row r="181" customFormat="1"/>
    <row r="182" customFormat="1"/>
    <row r="183" customFormat="1"/>
    <row r="184" customFormat="1"/>
    <row r="185" customFormat="1"/>
    <row r="186" customFormat="1"/>
    <row r="187" customFormat="1"/>
    <row r="188" customFormat="1"/>
    <row r="189" customFormat="1"/>
    <row r="190" customFormat="1"/>
    <row r="191" customFormat="1"/>
    <row r="192" customFormat="1"/>
    <row r="193" customFormat="1"/>
    <row r="194" customFormat="1"/>
    <row r="195" customFormat="1"/>
    <row r="196" customFormat="1"/>
    <row r="197" customFormat="1"/>
    <row r="198" customFormat="1"/>
    <row r="199" customFormat="1"/>
    <row r="200" customFormat="1"/>
    <row r="201" customFormat="1"/>
    <row r="202" customFormat="1"/>
    <row r="203" customFormat="1"/>
    <row r="204" customFormat="1"/>
    <row r="205" customFormat="1"/>
    <row r="206" customFormat="1"/>
    <row r="207" customFormat="1"/>
    <row r="208" customFormat="1"/>
    <row r="209" customFormat="1"/>
    <row r="210" customFormat="1"/>
    <row r="211" customFormat="1"/>
    <row r="212" customFormat="1"/>
    <row r="213" customFormat="1"/>
    <row r="214" customFormat="1"/>
    <row r="215" customFormat="1"/>
    <row r="216" customFormat="1"/>
    <row r="217" customFormat="1"/>
    <row r="218" customFormat="1"/>
    <row r="219" customFormat="1"/>
    <row r="220" customFormat="1"/>
    <row r="221" customFormat="1"/>
    <row r="222" customFormat="1"/>
    <row r="223" customFormat="1"/>
    <row r="224" customFormat="1"/>
    <row r="225" customFormat="1"/>
    <row r="226" customFormat="1"/>
    <row r="227" customFormat="1"/>
    <row r="228" customFormat="1"/>
    <row r="229" customFormat="1"/>
    <row r="230" customFormat="1"/>
    <row r="231" customFormat="1"/>
    <row r="232" customFormat="1"/>
    <row r="233" customFormat="1"/>
    <row r="234" customFormat="1"/>
    <row r="235" customFormat="1"/>
    <row r="236" customFormat="1"/>
    <row r="237" customFormat="1"/>
    <row r="238" customFormat="1"/>
    <row r="239" customFormat="1"/>
    <row r="240" customFormat="1"/>
    <row r="241" customFormat="1"/>
    <row r="242" customFormat="1"/>
    <row r="243" customFormat="1"/>
    <row r="244" customFormat="1"/>
    <row r="245" customFormat="1"/>
    <row r="246" customFormat="1"/>
    <row r="247" customFormat="1"/>
    <row r="248" customFormat="1"/>
    <row r="249" customFormat="1"/>
    <row r="250" customFormat="1"/>
    <row r="251" customFormat="1"/>
    <row r="252" customFormat="1"/>
    <row r="253" customFormat="1"/>
    <row r="254" customFormat="1"/>
    <row r="255" customFormat="1"/>
    <row r="256" customFormat="1"/>
    <row r="257" customFormat="1"/>
    <row r="258" customFormat="1"/>
    <row r="259" customFormat="1"/>
    <row r="260" customFormat="1"/>
    <row r="261" customFormat="1"/>
    <row r="262" customFormat="1"/>
    <row r="263" customFormat="1"/>
    <row r="264" customFormat="1"/>
    <row r="265" customFormat="1"/>
    <row r="266" customFormat="1"/>
    <row r="267" customFormat="1"/>
    <row r="268" customFormat="1"/>
    <row r="269" customFormat="1"/>
    <row r="270" customFormat="1"/>
    <row r="271" customFormat="1"/>
    <row r="272" customFormat="1"/>
    <row r="273" customFormat="1"/>
  </sheetData>
  <autoFilter ref="D4:R4" xr:uid="{00000000-0009-0000-0000-000005000000}">
    <sortState xmlns:xlrd2="http://schemas.microsoft.com/office/spreadsheetml/2017/richdata2" ref="D5:R169">
      <sortCondition ref="G4"/>
    </sortState>
  </autoFilter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B4:S273"/>
  <sheetViews>
    <sheetView topLeftCell="A81" workbookViewId="0">
      <selection activeCell="D87" sqref="D68:K87"/>
    </sheetView>
  </sheetViews>
  <sheetFormatPr defaultRowHeight="14.4"/>
  <cols>
    <col min="5" max="5" width="12.5546875" customWidth="1"/>
    <col min="7" max="7" width="12.109375" customWidth="1"/>
    <col min="8" max="8" width="11" style="85" customWidth="1"/>
    <col min="9" max="9" width="10.88671875" customWidth="1"/>
    <col min="10" max="10" width="11.88671875" customWidth="1"/>
    <col min="11" max="11" width="10.109375" style="93" customWidth="1"/>
    <col min="12" max="12" width="12.6640625" style="85" customWidth="1"/>
  </cols>
  <sheetData>
    <row r="4" spans="3:18">
      <c r="D4" s="55" t="s">
        <v>2</v>
      </c>
      <c r="E4" s="55" t="s">
        <v>4</v>
      </c>
      <c r="F4" s="55" t="s">
        <v>6</v>
      </c>
      <c r="G4" s="55" t="s">
        <v>7</v>
      </c>
      <c r="H4" s="87" t="s">
        <v>8</v>
      </c>
      <c r="I4" s="55" t="s">
        <v>9</v>
      </c>
      <c r="J4" s="55" t="s">
        <v>10</v>
      </c>
      <c r="K4" s="96"/>
      <c r="L4" s="87" t="s">
        <v>12</v>
      </c>
      <c r="M4" s="55" t="s">
        <v>13</v>
      </c>
      <c r="N4" s="55" t="s">
        <v>14</v>
      </c>
      <c r="O4" s="55" t="s">
        <v>15</v>
      </c>
      <c r="P4" s="55" t="s">
        <v>16</v>
      </c>
      <c r="Q4" s="55" t="s">
        <v>18</v>
      </c>
      <c r="R4" s="55" t="s">
        <v>34</v>
      </c>
    </row>
    <row r="5" spans="3:18" ht="42" thickBot="1">
      <c r="C5" s="72"/>
      <c r="D5" s="72" t="s">
        <v>0</v>
      </c>
      <c r="E5" s="73">
        <v>46231</v>
      </c>
      <c r="F5" s="72" t="s">
        <v>20</v>
      </c>
      <c r="G5" s="74">
        <v>21100</v>
      </c>
      <c r="H5" s="72">
        <v>1.8</v>
      </c>
      <c r="I5" s="72">
        <v>1.8</v>
      </c>
      <c r="J5" s="72">
        <v>1.35</v>
      </c>
      <c r="K5" s="72" t="s">
        <v>47</v>
      </c>
      <c r="L5" s="72">
        <v>1.75</v>
      </c>
      <c r="M5" s="75">
        <v>1.55</v>
      </c>
      <c r="N5" s="72">
        <v>-0.2</v>
      </c>
      <c r="O5" s="72">
        <v>-11.43</v>
      </c>
      <c r="P5" s="76">
        <v>1417</v>
      </c>
      <c r="Q5" s="72">
        <v>1.36</v>
      </c>
      <c r="R5" s="57"/>
    </row>
    <row r="6" spans="3:18" ht="42" thickBot="1">
      <c r="C6" s="72"/>
      <c r="D6" s="72" t="s">
        <v>0</v>
      </c>
      <c r="E6" s="73">
        <v>46231</v>
      </c>
      <c r="F6" s="72" t="s">
        <v>20</v>
      </c>
      <c r="G6" s="74">
        <v>21150</v>
      </c>
      <c r="H6" s="72">
        <v>1.85</v>
      </c>
      <c r="I6" s="72">
        <v>1.85</v>
      </c>
      <c r="J6" s="72">
        <v>1.4</v>
      </c>
      <c r="K6" s="72" t="s">
        <v>47</v>
      </c>
      <c r="L6" s="72">
        <v>1.85</v>
      </c>
      <c r="M6" s="75">
        <v>1.4</v>
      </c>
      <c r="N6" s="72">
        <v>-0.45</v>
      </c>
      <c r="O6" s="72">
        <v>-24.32</v>
      </c>
      <c r="P6" s="72">
        <v>17</v>
      </c>
      <c r="Q6" s="72">
        <v>0.02</v>
      </c>
      <c r="R6" s="77"/>
    </row>
    <row r="7" spans="3:18" ht="42" thickBot="1">
      <c r="C7" s="72"/>
      <c r="D7" s="72" t="s">
        <v>0</v>
      </c>
      <c r="E7" s="73">
        <v>46231</v>
      </c>
      <c r="F7" s="72" t="s">
        <v>20</v>
      </c>
      <c r="G7" s="74">
        <v>21200</v>
      </c>
      <c r="H7" s="72">
        <v>1.85</v>
      </c>
      <c r="I7" s="72">
        <v>1.85</v>
      </c>
      <c r="J7" s="72">
        <v>1.55</v>
      </c>
      <c r="K7" s="72" t="s">
        <v>47</v>
      </c>
      <c r="L7" s="72">
        <v>1.9</v>
      </c>
      <c r="M7" s="75">
        <v>1.6</v>
      </c>
      <c r="N7" s="72">
        <v>-0.3</v>
      </c>
      <c r="O7" s="72">
        <v>-15.79</v>
      </c>
      <c r="P7" s="72">
        <v>184</v>
      </c>
      <c r="Q7" s="72">
        <v>0.2</v>
      </c>
      <c r="R7" s="77"/>
    </row>
    <row r="8" spans="3:18" ht="42" thickBot="1">
      <c r="C8" s="72"/>
      <c r="D8" s="72" t="s">
        <v>0</v>
      </c>
      <c r="E8" s="73">
        <v>46231</v>
      </c>
      <c r="F8" s="72" t="s">
        <v>20</v>
      </c>
      <c r="G8" s="74">
        <v>21300</v>
      </c>
      <c r="H8" s="72">
        <v>1.65</v>
      </c>
      <c r="I8" s="72">
        <v>2.1</v>
      </c>
      <c r="J8" s="72">
        <v>1.6</v>
      </c>
      <c r="K8" s="72" t="s">
        <v>47</v>
      </c>
      <c r="L8" s="72">
        <v>2.0499999999999998</v>
      </c>
      <c r="M8" s="75">
        <v>1.85</v>
      </c>
      <c r="N8" s="72">
        <v>-0.2</v>
      </c>
      <c r="O8" s="72">
        <v>-9.76</v>
      </c>
      <c r="P8" s="72">
        <v>49</v>
      </c>
      <c r="Q8" s="72">
        <v>0.05</v>
      </c>
      <c r="R8" s="77"/>
    </row>
    <row r="9" spans="3:18" ht="42" thickBot="1">
      <c r="C9" s="72"/>
      <c r="D9" s="72" t="s">
        <v>0</v>
      </c>
      <c r="E9" s="73">
        <v>46231</v>
      </c>
      <c r="F9" s="72" t="s">
        <v>20</v>
      </c>
      <c r="G9" s="74">
        <v>21350</v>
      </c>
      <c r="H9" s="72">
        <v>2.0499999999999998</v>
      </c>
      <c r="I9" s="72">
        <v>2.9</v>
      </c>
      <c r="J9" s="72">
        <v>1.4</v>
      </c>
      <c r="K9" s="72" t="s">
        <v>47</v>
      </c>
      <c r="L9" s="72">
        <v>2.1</v>
      </c>
      <c r="M9" s="75">
        <v>1.5</v>
      </c>
      <c r="N9" s="72">
        <v>-0.6</v>
      </c>
      <c r="O9" s="72">
        <v>-28.57</v>
      </c>
      <c r="P9" s="72">
        <v>25</v>
      </c>
      <c r="Q9" s="72">
        <v>0.03</v>
      </c>
      <c r="R9" s="77"/>
    </row>
    <row r="10" spans="3:18" ht="42" thickBot="1">
      <c r="C10" s="72"/>
      <c r="D10" s="72" t="s">
        <v>0</v>
      </c>
      <c r="E10" s="73">
        <v>46231</v>
      </c>
      <c r="F10" s="72" t="s">
        <v>20</v>
      </c>
      <c r="G10" s="74">
        <v>21400</v>
      </c>
      <c r="H10" s="72">
        <v>2.2000000000000002</v>
      </c>
      <c r="I10" s="72">
        <v>2.2000000000000002</v>
      </c>
      <c r="J10" s="72">
        <v>1.75</v>
      </c>
      <c r="K10" s="72" t="s">
        <v>47</v>
      </c>
      <c r="L10" s="72">
        <v>2.2000000000000002</v>
      </c>
      <c r="M10" s="75">
        <v>1.9</v>
      </c>
      <c r="N10" s="72">
        <v>-0.3</v>
      </c>
      <c r="O10" s="72">
        <v>-13.64</v>
      </c>
      <c r="P10" s="72">
        <v>61</v>
      </c>
      <c r="Q10" s="72">
        <v>7.0000000000000007E-2</v>
      </c>
      <c r="R10" s="77"/>
    </row>
    <row r="11" spans="3:18" ht="42" thickBot="1">
      <c r="C11" s="72"/>
      <c r="D11" s="72" t="s">
        <v>0</v>
      </c>
      <c r="E11" s="73">
        <v>46231</v>
      </c>
      <c r="F11" s="72" t="s">
        <v>20</v>
      </c>
      <c r="G11" s="74">
        <v>21500</v>
      </c>
      <c r="H11" s="72">
        <v>2.2000000000000002</v>
      </c>
      <c r="I11" s="72">
        <v>2.2000000000000002</v>
      </c>
      <c r="J11" s="72">
        <v>1.75</v>
      </c>
      <c r="K11" s="72" t="s">
        <v>47</v>
      </c>
      <c r="L11" s="72">
        <v>2.25</v>
      </c>
      <c r="M11" s="75">
        <v>1.95</v>
      </c>
      <c r="N11" s="72">
        <v>-0.3</v>
      </c>
      <c r="O11" s="72">
        <v>-13.33</v>
      </c>
      <c r="P11" s="76">
        <v>1177</v>
      </c>
      <c r="Q11" s="72">
        <v>1.44</v>
      </c>
      <c r="R11" s="77"/>
    </row>
    <row r="12" spans="3:18" ht="42" thickBot="1">
      <c r="C12" s="72"/>
      <c r="D12" s="72" t="s">
        <v>0</v>
      </c>
      <c r="E12" s="73">
        <v>46231</v>
      </c>
      <c r="F12" s="72" t="s">
        <v>1</v>
      </c>
      <c r="G12" s="74">
        <v>21500</v>
      </c>
      <c r="H12" s="74">
        <v>2741.2</v>
      </c>
      <c r="I12" s="74">
        <v>2741.2</v>
      </c>
      <c r="J12" s="74">
        <v>2725.7</v>
      </c>
      <c r="K12" s="72" t="s">
        <v>47</v>
      </c>
      <c r="L12" s="74">
        <v>2758.4</v>
      </c>
      <c r="M12" s="78">
        <v>2725.7</v>
      </c>
      <c r="N12" s="72">
        <v>-32.700000000000003</v>
      </c>
      <c r="O12" s="72">
        <v>-1.19</v>
      </c>
      <c r="P12" s="72">
        <v>4</v>
      </c>
      <c r="Q12" s="72">
        <v>7.11</v>
      </c>
      <c r="R12" s="77"/>
    </row>
    <row r="13" spans="3:18" ht="42" thickBot="1">
      <c r="C13" s="72"/>
      <c r="D13" s="72" t="s">
        <v>0</v>
      </c>
      <c r="E13" s="73">
        <v>46231</v>
      </c>
      <c r="F13" s="72" t="s">
        <v>20</v>
      </c>
      <c r="G13" s="74">
        <v>21600</v>
      </c>
      <c r="H13" s="72">
        <v>2</v>
      </c>
      <c r="I13" s="72">
        <v>2.15</v>
      </c>
      <c r="J13" s="72">
        <v>1.85</v>
      </c>
      <c r="K13" s="72" t="s">
        <v>47</v>
      </c>
      <c r="L13" s="72">
        <v>2.5499999999999998</v>
      </c>
      <c r="M13" s="75">
        <v>2.0499999999999998</v>
      </c>
      <c r="N13" s="72">
        <v>-0.5</v>
      </c>
      <c r="O13" s="72">
        <v>-19.61</v>
      </c>
      <c r="P13" s="72">
        <v>634</v>
      </c>
      <c r="Q13" s="72">
        <v>0.82</v>
      </c>
      <c r="R13" s="77"/>
    </row>
    <row r="14" spans="3:18" ht="42" thickBot="1">
      <c r="C14" s="72"/>
      <c r="D14" s="72" t="s">
        <v>0</v>
      </c>
      <c r="E14" s="73">
        <v>46231</v>
      </c>
      <c r="F14" s="72" t="s">
        <v>20</v>
      </c>
      <c r="G14" s="74">
        <v>21650</v>
      </c>
      <c r="H14" s="72">
        <v>3.3</v>
      </c>
      <c r="I14" s="72">
        <v>3.3</v>
      </c>
      <c r="J14" s="72">
        <v>1.6</v>
      </c>
      <c r="K14" s="72" t="s">
        <v>47</v>
      </c>
      <c r="L14" s="72">
        <v>2.5</v>
      </c>
      <c r="M14" s="75">
        <v>2</v>
      </c>
      <c r="N14" s="72">
        <v>-0.5</v>
      </c>
      <c r="O14" s="72">
        <v>-20</v>
      </c>
      <c r="P14" s="72">
        <v>21</v>
      </c>
      <c r="Q14" s="72">
        <v>0.03</v>
      </c>
      <c r="R14" s="77"/>
    </row>
    <row r="15" spans="3:18" ht="42" thickBot="1">
      <c r="C15" s="72"/>
      <c r="D15" s="72" t="s">
        <v>0</v>
      </c>
      <c r="E15" s="73">
        <v>46231</v>
      </c>
      <c r="F15" s="72" t="s">
        <v>20</v>
      </c>
      <c r="G15" s="74">
        <v>21700</v>
      </c>
      <c r="H15" s="72">
        <v>3.2</v>
      </c>
      <c r="I15" s="72">
        <v>3.2</v>
      </c>
      <c r="J15" s="72">
        <v>1.95</v>
      </c>
      <c r="K15" s="72" t="s">
        <v>47</v>
      </c>
      <c r="L15" s="72">
        <v>2.5499999999999998</v>
      </c>
      <c r="M15" s="75">
        <v>2.1</v>
      </c>
      <c r="N15" s="72">
        <v>-0.45</v>
      </c>
      <c r="O15" s="72">
        <v>-17.649999999999999</v>
      </c>
      <c r="P15" s="72">
        <v>764</v>
      </c>
      <c r="Q15" s="72">
        <v>1.05</v>
      </c>
      <c r="R15" s="77"/>
    </row>
    <row r="16" spans="3:18" ht="42" thickBot="1">
      <c r="C16" s="72"/>
      <c r="D16" s="72" t="s">
        <v>0</v>
      </c>
      <c r="E16" s="73">
        <v>46231</v>
      </c>
      <c r="F16" s="72" t="s">
        <v>20</v>
      </c>
      <c r="G16" s="74">
        <v>21750</v>
      </c>
      <c r="H16" s="72">
        <v>2.15</v>
      </c>
      <c r="I16" s="72">
        <v>2.4</v>
      </c>
      <c r="J16" s="72">
        <v>2.0499999999999998</v>
      </c>
      <c r="K16" s="72" t="s">
        <v>47</v>
      </c>
      <c r="L16" s="72">
        <v>2.6</v>
      </c>
      <c r="M16" s="75">
        <v>2.1</v>
      </c>
      <c r="N16" s="72">
        <v>-0.5</v>
      </c>
      <c r="O16" s="72">
        <v>-19.23</v>
      </c>
      <c r="P16" s="72">
        <v>108</v>
      </c>
      <c r="Q16" s="72">
        <v>0.16</v>
      </c>
      <c r="R16" s="77"/>
    </row>
    <row r="17" spans="3:18" ht="42" thickBot="1">
      <c r="C17" s="72"/>
      <c r="D17" s="72" t="s">
        <v>0</v>
      </c>
      <c r="E17" s="73">
        <v>46231</v>
      </c>
      <c r="F17" s="72" t="s">
        <v>20</v>
      </c>
      <c r="G17" s="74">
        <v>21800</v>
      </c>
      <c r="H17" s="72">
        <v>2.15</v>
      </c>
      <c r="I17" s="72">
        <v>2.4500000000000002</v>
      </c>
      <c r="J17" s="72">
        <v>2.15</v>
      </c>
      <c r="K17" s="72" t="s">
        <v>47</v>
      </c>
      <c r="L17" s="72">
        <v>2.7</v>
      </c>
      <c r="M17" s="75">
        <v>2.35</v>
      </c>
      <c r="N17" s="72">
        <v>-0.35</v>
      </c>
      <c r="O17" s="72">
        <v>-12.96</v>
      </c>
      <c r="P17" s="76">
        <v>1899</v>
      </c>
      <c r="Q17" s="72">
        <v>2.84</v>
      </c>
      <c r="R17" s="77"/>
    </row>
    <row r="18" spans="3:18" ht="42" thickBot="1">
      <c r="C18" s="72"/>
      <c r="D18" s="72" t="s">
        <v>0</v>
      </c>
      <c r="E18" s="73">
        <v>46231</v>
      </c>
      <c r="F18" s="72" t="s">
        <v>20</v>
      </c>
      <c r="G18" s="74">
        <v>21850</v>
      </c>
      <c r="H18" s="72">
        <v>2.35</v>
      </c>
      <c r="I18" s="72">
        <v>2.35</v>
      </c>
      <c r="J18" s="72">
        <v>2</v>
      </c>
      <c r="K18" s="72" t="s">
        <v>47</v>
      </c>
      <c r="L18" s="72">
        <v>2.75</v>
      </c>
      <c r="M18" s="75">
        <v>2.2000000000000002</v>
      </c>
      <c r="N18" s="72">
        <v>-0.55000000000000004</v>
      </c>
      <c r="O18" s="72">
        <v>-20</v>
      </c>
      <c r="P18" s="72">
        <v>166</v>
      </c>
      <c r="Q18" s="72">
        <v>0.23</v>
      </c>
      <c r="R18" s="77"/>
    </row>
    <row r="19" spans="3:18" ht="42" thickBot="1">
      <c r="C19" s="72"/>
      <c r="D19" s="72" t="s">
        <v>0</v>
      </c>
      <c r="E19" s="73">
        <v>46231</v>
      </c>
      <c r="F19" s="72" t="s">
        <v>20</v>
      </c>
      <c r="G19" s="74">
        <v>21900</v>
      </c>
      <c r="H19" s="72">
        <v>2.15</v>
      </c>
      <c r="I19" s="72">
        <v>2.4500000000000002</v>
      </c>
      <c r="J19" s="72">
        <v>2.0499999999999998</v>
      </c>
      <c r="K19" s="72" t="s">
        <v>47</v>
      </c>
      <c r="L19" s="72">
        <v>2.8</v>
      </c>
      <c r="M19" s="75">
        <v>2.35</v>
      </c>
      <c r="N19" s="72">
        <v>-0.45</v>
      </c>
      <c r="O19" s="72">
        <v>-16.07</v>
      </c>
      <c r="P19" s="72">
        <v>927</v>
      </c>
      <c r="Q19" s="72">
        <v>1.38</v>
      </c>
      <c r="R19" s="77"/>
    </row>
    <row r="20" spans="3:18" ht="42" thickBot="1">
      <c r="C20" s="72"/>
      <c r="D20" s="72" t="s">
        <v>0</v>
      </c>
      <c r="E20" s="73">
        <v>46231</v>
      </c>
      <c r="F20" s="72" t="s">
        <v>20</v>
      </c>
      <c r="G20" s="74">
        <v>21950</v>
      </c>
      <c r="H20" s="72">
        <v>2.2000000000000002</v>
      </c>
      <c r="I20" s="72">
        <v>2.35</v>
      </c>
      <c r="J20" s="72">
        <v>2.15</v>
      </c>
      <c r="K20" s="72" t="s">
        <v>47</v>
      </c>
      <c r="L20" s="72">
        <v>2.8</v>
      </c>
      <c r="M20" s="75">
        <v>2.2999999999999998</v>
      </c>
      <c r="N20" s="72">
        <v>-0.5</v>
      </c>
      <c r="O20" s="72">
        <v>-17.86</v>
      </c>
      <c r="P20" s="72">
        <v>55</v>
      </c>
      <c r="Q20" s="72">
        <v>0.08</v>
      </c>
      <c r="R20" s="77"/>
    </row>
    <row r="21" spans="3:18" ht="42" thickBot="1">
      <c r="C21" s="72"/>
      <c r="D21" s="72" t="s">
        <v>0</v>
      </c>
      <c r="E21" s="73">
        <v>46231</v>
      </c>
      <c r="F21" s="72" t="s">
        <v>20</v>
      </c>
      <c r="G21" s="74">
        <v>22000</v>
      </c>
      <c r="H21" s="72">
        <v>2.95</v>
      </c>
      <c r="I21" s="72">
        <v>3</v>
      </c>
      <c r="J21" s="72">
        <v>2.25</v>
      </c>
      <c r="K21" s="72" t="s">
        <v>47</v>
      </c>
      <c r="L21" s="72">
        <v>2.95</v>
      </c>
      <c r="M21" s="75">
        <v>2.4</v>
      </c>
      <c r="N21" s="72">
        <v>-0.55000000000000004</v>
      </c>
      <c r="O21" s="72">
        <v>-18.64</v>
      </c>
      <c r="P21" s="76">
        <v>4129</v>
      </c>
      <c r="Q21" s="72">
        <v>6.41</v>
      </c>
      <c r="R21" s="77"/>
    </row>
    <row r="22" spans="3:18" ht="42" thickBot="1">
      <c r="C22" s="72"/>
      <c r="D22" s="72" t="s">
        <v>0</v>
      </c>
      <c r="E22" s="73">
        <v>46231</v>
      </c>
      <c r="F22" s="72" t="s">
        <v>1</v>
      </c>
      <c r="G22" s="74">
        <v>22000</v>
      </c>
      <c r="H22" s="74">
        <v>2234.0500000000002</v>
      </c>
      <c r="I22" s="74">
        <v>2255.25</v>
      </c>
      <c r="J22" s="74">
        <v>2234</v>
      </c>
      <c r="K22" s="72" t="s">
        <v>47</v>
      </c>
      <c r="L22" s="74">
        <v>2254.75</v>
      </c>
      <c r="M22" s="78">
        <v>2250</v>
      </c>
      <c r="N22" s="72">
        <v>-4.75</v>
      </c>
      <c r="O22" s="72">
        <v>-0.21</v>
      </c>
      <c r="P22" s="72">
        <v>21</v>
      </c>
      <c r="Q22" s="72">
        <v>30.69</v>
      </c>
      <c r="R22" s="77"/>
    </row>
    <row r="23" spans="3:18" ht="42" thickBot="1">
      <c r="C23" s="72"/>
      <c r="D23" s="72" t="s">
        <v>0</v>
      </c>
      <c r="E23" s="73">
        <v>46231</v>
      </c>
      <c r="F23" s="72" t="s">
        <v>20</v>
      </c>
      <c r="G23" s="74">
        <v>22050</v>
      </c>
      <c r="H23" s="72">
        <v>2.95</v>
      </c>
      <c r="I23" s="72">
        <v>2.95</v>
      </c>
      <c r="J23" s="72">
        <v>2.2000000000000002</v>
      </c>
      <c r="K23" s="72" t="s">
        <v>47</v>
      </c>
      <c r="L23" s="72">
        <v>2.9</v>
      </c>
      <c r="M23" s="75">
        <v>2.4</v>
      </c>
      <c r="N23" s="72">
        <v>-0.5</v>
      </c>
      <c r="O23" s="72">
        <v>-17.239999999999998</v>
      </c>
      <c r="P23" s="72">
        <v>209</v>
      </c>
      <c r="Q23" s="72">
        <v>0.33</v>
      </c>
      <c r="R23" s="77"/>
    </row>
    <row r="24" spans="3:18" ht="42" thickBot="1">
      <c r="C24" s="72"/>
      <c r="D24" s="72" t="s">
        <v>0</v>
      </c>
      <c r="E24" s="73">
        <v>46231</v>
      </c>
      <c r="F24" s="72" t="s">
        <v>20</v>
      </c>
      <c r="G24" s="74">
        <v>22100</v>
      </c>
      <c r="H24" s="72">
        <v>2.6</v>
      </c>
      <c r="I24" s="72">
        <v>2.7</v>
      </c>
      <c r="J24" s="72">
        <v>2.4</v>
      </c>
      <c r="K24" s="72" t="s">
        <v>47</v>
      </c>
      <c r="L24" s="72">
        <v>3</v>
      </c>
      <c r="M24" s="75">
        <v>2.6</v>
      </c>
      <c r="N24" s="72">
        <v>-0.4</v>
      </c>
      <c r="O24" s="72">
        <v>-13.33</v>
      </c>
      <c r="P24" s="72">
        <v>249</v>
      </c>
      <c r="Q24" s="72">
        <v>0.41</v>
      </c>
      <c r="R24" s="77"/>
    </row>
    <row r="25" spans="3:18" ht="42" thickBot="1">
      <c r="C25" s="72"/>
      <c r="D25" s="72" t="s">
        <v>0</v>
      </c>
      <c r="E25" s="73">
        <v>46231</v>
      </c>
      <c r="F25" s="72" t="s">
        <v>20</v>
      </c>
      <c r="G25" s="74">
        <v>22150</v>
      </c>
      <c r="H25" s="72">
        <v>2.35</v>
      </c>
      <c r="I25" s="72">
        <v>2.75</v>
      </c>
      <c r="J25" s="72">
        <v>2.35</v>
      </c>
      <c r="K25" s="72" t="s">
        <v>47</v>
      </c>
      <c r="L25" s="72">
        <v>3</v>
      </c>
      <c r="M25" s="75">
        <v>2.7</v>
      </c>
      <c r="N25" s="72">
        <v>-0.3</v>
      </c>
      <c r="O25" s="72">
        <v>-10</v>
      </c>
      <c r="P25" s="72">
        <v>12</v>
      </c>
      <c r="Q25" s="72">
        <v>0.02</v>
      </c>
      <c r="R25" s="77"/>
    </row>
    <row r="26" spans="3:18" ht="42" thickBot="1">
      <c r="C26" s="72"/>
      <c r="D26" s="72" t="s">
        <v>0</v>
      </c>
      <c r="E26" s="73">
        <v>46231</v>
      </c>
      <c r="F26" s="72" t="s">
        <v>20</v>
      </c>
      <c r="G26" s="74">
        <v>22200</v>
      </c>
      <c r="H26" s="72">
        <v>2.5</v>
      </c>
      <c r="I26" s="72">
        <v>2.8</v>
      </c>
      <c r="J26" s="72">
        <v>2.5</v>
      </c>
      <c r="K26" s="72" t="s">
        <v>47</v>
      </c>
      <c r="L26" s="72">
        <v>3.1</v>
      </c>
      <c r="M26" s="75">
        <v>2.7</v>
      </c>
      <c r="N26" s="72">
        <v>-0.4</v>
      </c>
      <c r="O26" s="72">
        <v>-12.9</v>
      </c>
      <c r="P26" s="76">
        <v>1024</v>
      </c>
      <c r="Q26" s="72">
        <v>1.75</v>
      </c>
      <c r="R26" s="77"/>
    </row>
    <row r="27" spans="3:18" ht="42" thickBot="1">
      <c r="C27" s="72"/>
      <c r="D27" s="72" t="s">
        <v>0</v>
      </c>
      <c r="E27" s="73">
        <v>46231</v>
      </c>
      <c r="F27" s="72" t="s">
        <v>20</v>
      </c>
      <c r="G27" s="74">
        <v>22250</v>
      </c>
      <c r="H27" s="72">
        <v>2.6</v>
      </c>
      <c r="I27" s="72">
        <v>3</v>
      </c>
      <c r="J27" s="72">
        <v>2.35</v>
      </c>
      <c r="K27" s="72" t="s">
        <v>47</v>
      </c>
      <c r="L27" s="72">
        <v>3.2</v>
      </c>
      <c r="M27" s="75">
        <v>2.7</v>
      </c>
      <c r="N27" s="72">
        <v>-0.5</v>
      </c>
      <c r="O27" s="72">
        <v>-15.63</v>
      </c>
      <c r="P27" s="72">
        <v>241</v>
      </c>
      <c r="Q27" s="72">
        <v>0.41</v>
      </c>
      <c r="R27" s="77"/>
    </row>
    <row r="28" spans="3:18" ht="42" thickBot="1">
      <c r="C28" s="72"/>
      <c r="D28" s="72" t="s">
        <v>0</v>
      </c>
      <c r="E28" s="73">
        <v>46231</v>
      </c>
      <c r="F28" s="72" t="s">
        <v>20</v>
      </c>
      <c r="G28" s="74">
        <v>22300</v>
      </c>
      <c r="H28" s="72">
        <v>2.9</v>
      </c>
      <c r="I28" s="72">
        <v>2.95</v>
      </c>
      <c r="J28" s="72">
        <v>2.5499999999999998</v>
      </c>
      <c r="K28" s="72" t="s">
        <v>47</v>
      </c>
      <c r="L28" s="72">
        <v>3.25</v>
      </c>
      <c r="M28" s="75">
        <v>2.9</v>
      </c>
      <c r="N28" s="72">
        <v>-0.35</v>
      </c>
      <c r="O28" s="72">
        <v>-10.77</v>
      </c>
      <c r="P28" s="76">
        <v>3087</v>
      </c>
      <c r="Q28" s="72">
        <v>5.74</v>
      </c>
      <c r="R28" s="77"/>
    </row>
    <row r="29" spans="3:18" ht="42" thickBot="1">
      <c r="C29" s="72"/>
      <c r="D29" s="72" t="s">
        <v>0</v>
      </c>
      <c r="E29" s="73">
        <v>46231</v>
      </c>
      <c r="F29" s="72" t="s">
        <v>20</v>
      </c>
      <c r="G29" s="74">
        <v>22350</v>
      </c>
      <c r="H29" s="72">
        <v>2.65</v>
      </c>
      <c r="I29" s="72">
        <v>3.45</v>
      </c>
      <c r="J29" s="72">
        <v>2.6</v>
      </c>
      <c r="K29" s="72" t="s">
        <v>47</v>
      </c>
      <c r="L29" s="72">
        <v>3.65</v>
      </c>
      <c r="M29" s="75">
        <v>3.05</v>
      </c>
      <c r="N29" s="72">
        <v>-0.6</v>
      </c>
      <c r="O29" s="72">
        <v>-16.440000000000001</v>
      </c>
      <c r="P29" s="76">
        <v>1030</v>
      </c>
      <c r="Q29" s="72">
        <v>2.08</v>
      </c>
      <c r="R29" s="77"/>
    </row>
    <row r="30" spans="3:18" ht="42" thickBot="1">
      <c r="C30" s="72"/>
      <c r="D30" s="72" t="s">
        <v>0</v>
      </c>
      <c r="E30" s="73">
        <v>46231</v>
      </c>
      <c r="F30" s="72" t="s">
        <v>20</v>
      </c>
      <c r="G30" s="74">
        <v>22400</v>
      </c>
      <c r="H30" s="72">
        <v>3.75</v>
      </c>
      <c r="I30" s="72">
        <v>4.4000000000000004</v>
      </c>
      <c r="J30" s="72">
        <v>1.5</v>
      </c>
      <c r="K30" s="72" t="s">
        <v>47</v>
      </c>
      <c r="L30" s="72">
        <v>3.7</v>
      </c>
      <c r="M30" s="75">
        <v>3.25</v>
      </c>
      <c r="N30" s="72">
        <v>-0.45</v>
      </c>
      <c r="O30" s="72">
        <v>-12.16</v>
      </c>
      <c r="P30" s="76">
        <v>2201</v>
      </c>
      <c r="Q30" s="72">
        <v>4.59</v>
      </c>
      <c r="R30" s="77"/>
    </row>
    <row r="31" spans="3:18" ht="42" thickBot="1">
      <c r="C31" s="72"/>
      <c r="D31" s="72" t="s">
        <v>0</v>
      </c>
      <c r="E31" s="73">
        <v>46231</v>
      </c>
      <c r="F31" s="72" t="s">
        <v>20</v>
      </c>
      <c r="G31" s="74">
        <v>22450</v>
      </c>
      <c r="H31" s="72">
        <v>3.2</v>
      </c>
      <c r="I31" s="72">
        <v>6.45</v>
      </c>
      <c r="J31" s="72">
        <v>3</v>
      </c>
      <c r="K31" s="72" t="s">
        <v>47</v>
      </c>
      <c r="L31" s="72">
        <v>4</v>
      </c>
      <c r="M31" s="75">
        <v>3.5</v>
      </c>
      <c r="N31" s="72">
        <v>-0.5</v>
      </c>
      <c r="O31" s="72">
        <v>-12.5</v>
      </c>
      <c r="P31" s="72">
        <v>450</v>
      </c>
      <c r="Q31" s="72">
        <v>0.99</v>
      </c>
      <c r="R31" s="77"/>
    </row>
    <row r="32" spans="3:18" ht="42" thickBot="1">
      <c r="C32" s="72"/>
      <c r="D32" s="72" t="s">
        <v>0</v>
      </c>
      <c r="E32" s="73">
        <v>46231</v>
      </c>
      <c r="F32" s="72" t="s">
        <v>20</v>
      </c>
      <c r="G32" s="74">
        <v>22500</v>
      </c>
      <c r="H32" s="72">
        <v>3.85</v>
      </c>
      <c r="I32" s="72">
        <v>3.9</v>
      </c>
      <c r="J32" s="72">
        <v>3.2</v>
      </c>
      <c r="K32" s="72" t="s">
        <v>47</v>
      </c>
      <c r="L32" s="72">
        <v>4.0999999999999996</v>
      </c>
      <c r="M32" s="75">
        <v>3.55</v>
      </c>
      <c r="N32" s="72">
        <v>-0.55000000000000004</v>
      </c>
      <c r="O32" s="72">
        <v>-13.41</v>
      </c>
      <c r="P32" s="76">
        <v>10289</v>
      </c>
      <c r="Q32" s="72">
        <v>22.87</v>
      </c>
      <c r="R32" s="77"/>
    </row>
    <row r="33" spans="3:18" ht="42" thickBot="1">
      <c r="C33" s="72"/>
      <c r="D33" s="72" t="s">
        <v>0</v>
      </c>
      <c r="E33" s="73">
        <v>46231</v>
      </c>
      <c r="F33" s="72" t="s">
        <v>1</v>
      </c>
      <c r="G33" s="74">
        <v>22500</v>
      </c>
      <c r="H33" s="74">
        <v>1745</v>
      </c>
      <c r="I33" s="74">
        <v>1758.7</v>
      </c>
      <c r="J33" s="74">
        <v>1731.1</v>
      </c>
      <c r="K33" s="72" t="s">
        <v>47</v>
      </c>
      <c r="L33" s="74">
        <v>1759.1</v>
      </c>
      <c r="M33" s="78">
        <v>1750.6</v>
      </c>
      <c r="N33" s="72">
        <v>-8.5</v>
      </c>
      <c r="O33" s="72">
        <v>-0.48</v>
      </c>
      <c r="P33" s="72">
        <v>32</v>
      </c>
      <c r="Q33" s="72">
        <v>36.35</v>
      </c>
      <c r="R33" s="77"/>
    </row>
    <row r="34" spans="3:18" ht="42" thickBot="1">
      <c r="C34" s="72"/>
      <c r="D34" s="72" t="s">
        <v>0</v>
      </c>
      <c r="E34" s="73">
        <v>46231</v>
      </c>
      <c r="F34" s="72" t="s">
        <v>20</v>
      </c>
      <c r="G34" s="74">
        <v>22550</v>
      </c>
      <c r="H34" s="72">
        <v>3.5</v>
      </c>
      <c r="I34" s="72">
        <v>3.7</v>
      </c>
      <c r="J34" s="72">
        <v>3.2</v>
      </c>
      <c r="K34" s="72" t="s">
        <v>47</v>
      </c>
      <c r="L34" s="72">
        <v>4.1500000000000004</v>
      </c>
      <c r="M34" s="75">
        <v>3.55</v>
      </c>
      <c r="N34" s="72">
        <v>-0.6</v>
      </c>
      <c r="O34" s="72">
        <v>-14.46</v>
      </c>
      <c r="P34" s="72">
        <v>307</v>
      </c>
      <c r="Q34" s="72">
        <v>0.7</v>
      </c>
      <c r="R34" s="77"/>
    </row>
    <row r="35" spans="3:18" ht="42" thickBot="1">
      <c r="C35" s="72"/>
      <c r="D35" s="72" t="s">
        <v>0</v>
      </c>
      <c r="E35" s="73">
        <v>46231</v>
      </c>
      <c r="F35" s="72" t="s">
        <v>20</v>
      </c>
      <c r="G35" s="74">
        <v>22600</v>
      </c>
      <c r="H35" s="72">
        <v>4.0999999999999996</v>
      </c>
      <c r="I35" s="72">
        <v>4.1500000000000004</v>
      </c>
      <c r="J35" s="72">
        <v>3.35</v>
      </c>
      <c r="K35" s="72" t="s">
        <v>47</v>
      </c>
      <c r="L35" s="72">
        <v>4.3499999999999996</v>
      </c>
      <c r="M35" s="75">
        <v>3.8</v>
      </c>
      <c r="N35" s="72">
        <v>-0.55000000000000004</v>
      </c>
      <c r="O35" s="72">
        <v>-12.64</v>
      </c>
      <c r="P35" s="76">
        <v>1904</v>
      </c>
      <c r="Q35" s="72">
        <v>4.46</v>
      </c>
      <c r="R35" s="77"/>
    </row>
    <row r="36" spans="3:18" ht="42" thickBot="1">
      <c r="C36" s="72"/>
      <c r="D36" s="72" t="s">
        <v>0</v>
      </c>
      <c r="E36" s="73">
        <v>46231</v>
      </c>
      <c r="F36" s="72" t="s">
        <v>20</v>
      </c>
      <c r="G36" s="74">
        <v>22650</v>
      </c>
      <c r="H36" s="72">
        <v>3.65</v>
      </c>
      <c r="I36" s="72">
        <v>4.05</v>
      </c>
      <c r="J36" s="72">
        <v>3.5</v>
      </c>
      <c r="K36" s="72" t="s">
        <v>47</v>
      </c>
      <c r="L36" s="72">
        <v>4.55</v>
      </c>
      <c r="M36" s="75">
        <v>4</v>
      </c>
      <c r="N36" s="72">
        <v>-0.55000000000000004</v>
      </c>
      <c r="O36" s="72">
        <v>-12.09</v>
      </c>
      <c r="P36" s="72">
        <v>552</v>
      </c>
      <c r="Q36" s="72">
        <v>1.37</v>
      </c>
      <c r="R36" s="77"/>
    </row>
    <row r="37" spans="3:18" ht="42" thickBot="1">
      <c r="C37" s="72"/>
      <c r="D37" s="72" t="s">
        <v>0</v>
      </c>
      <c r="E37" s="73">
        <v>46231</v>
      </c>
      <c r="F37" s="72" t="s">
        <v>20</v>
      </c>
      <c r="G37" s="74">
        <v>22700</v>
      </c>
      <c r="H37" s="72">
        <v>4.2</v>
      </c>
      <c r="I37" s="72">
        <v>4.3</v>
      </c>
      <c r="J37" s="72">
        <v>3.6</v>
      </c>
      <c r="K37" s="72" t="s">
        <v>47</v>
      </c>
      <c r="L37" s="72">
        <v>4.8</v>
      </c>
      <c r="M37" s="75">
        <v>4.1500000000000004</v>
      </c>
      <c r="N37" s="72">
        <v>-0.65</v>
      </c>
      <c r="O37" s="72">
        <v>-13.54</v>
      </c>
      <c r="P37" s="76">
        <v>4218</v>
      </c>
      <c r="Q37" s="72">
        <v>10.77</v>
      </c>
      <c r="R37" s="77"/>
    </row>
    <row r="38" spans="3:18" ht="42" thickBot="1">
      <c r="C38" s="72"/>
      <c r="D38" s="72" t="s">
        <v>0</v>
      </c>
      <c r="E38" s="73">
        <v>46231</v>
      </c>
      <c r="F38" s="72" t="s">
        <v>20</v>
      </c>
      <c r="G38" s="74">
        <v>22750</v>
      </c>
      <c r="H38" s="72">
        <v>4.05</v>
      </c>
      <c r="I38" s="72">
        <v>4.4000000000000004</v>
      </c>
      <c r="J38" s="72">
        <v>3.85</v>
      </c>
      <c r="K38" s="72" t="s">
        <v>47</v>
      </c>
      <c r="L38" s="72">
        <v>5.05</v>
      </c>
      <c r="M38" s="75">
        <v>4.3499999999999996</v>
      </c>
      <c r="N38" s="72">
        <v>-0.7</v>
      </c>
      <c r="O38" s="72">
        <v>-13.86</v>
      </c>
      <c r="P38" s="76">
        <v>1345</v>
      </c>
      <c r="Q38" s="72">
        <v>3.64</v>
      </c>
      <c r="R38" s="77"/>
    </row>
    <row r="39" spans="3:18" ht="42" thickBot="1">
      <c r="C39" s="72"/>
      <c r="D39" s="72" t="s">
        <v>0</v>
      </c>
      <c r="E39" s="73">
        <v>46231</v>
      </c>
      <c r="F39" s="72" t="s">
        <v>20</v>
      </c>
      <c r="G39" s="74">
        <v>22800</v>
      </c>
      <c r="H39" s="72">
        <v>4.8</v>
      </c>
      <c r="I39" s="72">
        <v>4.8</v>
      </c>
      <c r="J39" s="72">
        <v>3.85</v>
      </c>
      <c r="K39" s="72" t="s">
        <v>47</v>
      </c>
      <c r="L39" s="72">
        <v>5.25</v>
      </c>
      <c r="M39" s="75">
        <v>4.5</v>
      </c>
      <c r="N39" s="72">
        <v>-0.75</v>
      </c>
      <c r="O39" s="72">
        <v>-14.29</v>
      </c>
      <c r="P39" s="76">
        <v>8362</v>
      </c>
      <c r="Q39" s="72">
        <v>22.72</v>
      </c>
      <c r="R39" s="77"/>
    </row>
    <row r="40" spans="3:18" ht="42" thickBot="1">
      <c r="C40" s="72"/>
      <c r="D40" s="72" t="s">
        <v>0</v>
      </c>
      <c r="E40" s="73">
        <v>46231</v>
      </c>
      <c r="F40" s="72" t="s">
        <v>20</v>
      </c>
      <c r="G40" s="74">
        <v>22850</v>
      </c>
      <c r="H40" s="72">
        <v>4.8</v>
      </c>
      <c r="I40" s="72">
        <v>4.8499999999999996</v>
      </c>
      <c r="J40" s="72">
        <v>4.0999999999999996</v>
      </c>
      <c r="K40" s="72" t="s">
        <v>47</v>
      </c>
      <c r="L40" s="72">
        <v>5.45</v>
      </c>
      <c r="M40" s="75">
        <v>4.8</v>
      </c>
      <c r="N40" s="72">
        <v>-0.65</v>
      </c>
      <c r="O40" s="72">
        <v>-11.93</v>
      </c>
      <c r="P40" s="76">
        <v>1128</v>
      </c>
      <c r="Q40" s="72">
        <v>3.34</v>
      </c>
      <c r="R40" s="77"/>
    </row>
    <row r="41" spans="3:18" ht="42" thickBot="1">
      <c r="C41" s="72"/>
      <c r="D41" s="72" t="s">
        <v>0</v>
      </c>
      <c r="E41" s="73">
        <v>46231</v>
      </c>
      <c r="F41" s="72" t="s">
        <v>20</v>
      </c>
      <c r="G41" s="74">
        <v>22900</v>
      </c>
      <c r="H41" s="72">
        <v>5.75</v>
      </c>
      <c r="I41" s="72">
        <v>5.75</v>
      </c>
      <c r="J41" s="72">
        <v>4.45</v>
      </c>
      <c r="K41" s="72" t="s">
        <v>47</v>
      </c>
      <c r="L41" s="72">
        <v>5.9</v>
      </c>
      <c r="M41" s="75">
        <v>5.15</v>
      </c>
      <c r="N41" s="72">
        <v>-0.75</v>
      </c>
      <c r="O41" s="72">
        <v>-12.71</v>
      </c>
      <c r="P41" s="76">
        <v>18615</v>
      </c>
      <c r="Q41" s="72">
        <v>59.77</v>
      </c>
      <c r="R41" s="77"/>
    </row>
    <row r="42" spans="3:18" ht="42" thickBot="1">
      <c r="C42" s="72"/>
      <c r="D42" s="72" t="s">
        <v>0</v>
      </c>
      <c r="E42" s="73">
        <v>46231</v>
      </c>
      <c r="F42" s="72" t="s">
        <v>20</v>
      </c>
      <c r="G42" s="74">
        <v>22950</v>
      </c>
      <c r="H42" s="72">
        <v>6.25</v>
      </c>
      <c r="I42" s="72">
        <v>6.25</v>
      </c>
      <c r="J42" s="72">
        <v>4.75</v>
      </c>
      <c r="K42" s="72" t="s">
        <v>47</v>
      </c>
      <c r="L42" s="72">
        <v>6.1</v>
      </c>
      <c r="M42" s="75">
        <v>5.3</v>
      </c>
      <c r="N42" s="72">
        <v>-0.8</v>
      </c>
      <c r="O42" s="72">
        <v>-13.11</v>
      </c>
      <c r="P42" s="76">
        <v>3240</v>
      </c>
      <c r="Q42" s="72">
        <v>10.87</v>
      </c>
      <c r="R42" s="77"/>
    </row>
    <row r="43" spans="3:18" ht="42" thickBot="1">
      <c r="C43" s="72"/>
      <c r="D43" s="72" t="s">
        <v>0</v>
      </c>
      <c r="E43" s="73">
        <v>46231</v>
      </c>
      <c r="F43" s="72" t="s">
        <v>20</v>
      </c>
      <c r="G43" s="74">
        <v>23000</v>
      </c>
      <c r="H43" s="72">
        <v>6.4</v>
      </c>
      <c r="I43" s="72">
        <v>6.55</v>
      </c>
      <c r="J43" s="72">
        <v>5.2</v>
      </c>
      <c r="K43" s="72" t="s">
        <v>47</v>
      </c>
      <c r="L43" s="72">
        <v>6.8</v>
      </c>
      <c r="M43" s="75">
        <v>5.75</v>
      </c>
      <c r="N43" s="72">
        <v>-1.05</v>
      </c>
      <c r="O43" s="72">
        <v>-15.44</v>
      </c>
      <c r="P43" s="76">
        <v>23677</v>
      </c>
      <c r="Q43" s="72">
        <v>85.72</v>
      </c>
      <c r="R43" s="77"/>
    </row>
    <row r="44" spans="3:18" ht="42" thickBot="1">
      <c r="C44" s="72"/>
      <c r="D44" s="72" t="s">
        <v>0</v>
      </c>
      <c r="E44" s="73">
        <v>46231</v>
      </c>
      <c r="F44" s="72" t="s">
        <v>1</v>
      </c>
      <c r="G44" s="74">
        <v>23000</v>
      </c>
      <c r="H44" s="74">
        <v>1211</v>
      </c>
      <c r="I44" s="74">
        <v>1260</v>
      </c>
      <c r="J44" s="74">
        <v>1211</v>
      </c>
      <c r="K44" s="72" t="s">
        <v>47</v>
      </c>
      <c r="L44" s="74">
        <v>1261.8499999999999</v>
      </c>
      <c r="M44" s="78">
        <v>1241</v>
      </c>
      <c r="N44" s="72">
        <v>-20.85</v>
      </c>
      <c r="O44" s="72">
        <v>-1.65</v>
      </c>
      <c r="P44" s="72">
        <v>135</v>
      </c>
      <c r="Q44" s="72">
        <v>109.47</v>
      </c>
      <c r="R44" s="77"/>
    </row>
    <row r="45" spans="3:18" ht="42" thickBot="1">
      <c r="C45" s="72"/>
      <c r="D45" s="72" t="s">
        <v>0</v>
      </c>
      <c r="E45" s="73">
        <v>46231</v>
      </c>
      <c r="F45" s="72" t="s">
        <v>20</v>
      </c>
      <c r="G45" s="74">
        <v>23050</v>
      </c>
      <c r="H45" s="72">
        <v>5.8</v>
      </c>
      <c r="I45" s="72">
        <v>6.15</v>
      </c>
      <c r="J45" s="72">
        <v>5.45</v>
      </c>
      <c r="K45" s="72" t="s">
        <v>47</v>
      </c>
      <c r="L45" s="72">
        <v>7.05</v>
      </c>
      <c r="M45" s="75">
        <v>6</v>
      </c>
      <c r="N45" s="72">
        <v>-1.05</v>
      </c>
      <c r="O45" s="72">
        <v>-14.89</v>
      </c>
      <c r="P45" s="76">
        <v>1642</v>
      </c>
      <c r="Q45" s="72">
        <v>6.13</v>
      </c>
      <c r="R45" s="77"/>
    </row>
    <row r="46" spans="3:18" ht="42" thickBot="1">
      <c r="C46" s="72"/>
      <c r="D46" s="72" t="s">
        <v>0</v>
      </c>
      <c r="E46" s="73">
        <v>46231</v>
      </c>
      <c r="F46" s="72" t="s">
        <v>20</v>
      </c>
      <c r="G46" s="74">
        <v>23100</v>
      </c>
      <c r="H46" s="72">
        <v>7.15</v>
      </c>
      <c r="I46" s="72">
        <v>7.2</v>
      </c>
      <c r="J46" s="72">
        <v>5.7</v>
      </c>
      <c r="K46" s="72" t="s">
        <v>47</v>
      </c>
      <c r="L46" s="72">
        <v>7.55</v>
      </c>
      <c r="M46" s="75">
        <v>6.25</v>
      </c>
      <c r="N46" s="72">
        <v>-1.3</v>
      </c>
      <c r="O46" s="72">
        <v>-17.22</v>
      </c>
      <c r="P46" s="76">
        <v>8968</v>
      </c>
      <c r="Q46" s="72">
        <v>35.44</v>
      </c>
      <c r="R46" s="77"/>
    </row>
    <row r="47" spans="3:18" ht="42" thickBot="1">
      <c r="C47" s="72"/>
      <c r="D47" s="72" t="s">
        <v>0</v>
      </c>
      <c r="E47" s="73">
        <v>46231</v>
      </c>
      <c r="F47" s="72" t="s">
        <v>1</v>
      </c>
      <c r="G47" s="74">
        <v>23100</v>
      </c>
      <c r="H47" s="74">
        <v>1135</v>
      </c>
      <c r="I47" s="74">
        <v>1135</v>
      </c>
      <c r="J47" s="74">
        <v>1135</v>
      </c>
      <c r="K47" s="72" t="s">
        <v>47</v>
      </c>
      <c r="L47" s="74">
        <v>1152.05</v>
      </c>
      <c r="M47" s="78">
        <v>1135</v>
      </c>
      <c r="N47" s="72">
        <v>-17.05</v>
      </c>
      <c r="O47" s="72">
        <v>-1.48</v>
      </c>
      <c r="P47" s="72">
        <v>2</v>
      </c>
      <c r="Q47" s="72">
        <v>1.48</v>
      </c>
      <c r="R47" s="77"/>
    </row>
    <row r="48" spans="3:18" ht="42" thickBot="1">
      <c r="C48" s="72"/>
      <c r="D48" s="72" t="s">
        <v>0</v>
      </c>
      <c r="E48" s="73">
        <v>46231</v>
      </c>
      <c r="F48" s="72" t="s">
        <v>20</v>
      </c>
      <c r="G48" s="74">
        <v>23150</v>
      </c>
      <c r="H48" s="72">
        <v>7</v>
      </c>
      <c r="I48" s="72">
        <v>7.45</v>
      </c>
      <c r="J48" s="72">
        <v>5.55</v>
      </c>
      <c r="K48" s="72" t="s">
        <v>47</v>
      </c>
      <c r="L48" s="72">
        <v>7.95</v>
      </c>
      <c r="M48" s="75">
        <v>6.6</v>
      </c>
      <c r="N48" s="72">
        <v>-1.35</v>
      </c>
      <c r="O48" s="72">
        <v>-16.98</v>
      </c>
      <c r="P48" s="76">
        <v>2009</v>
      </c>
      <c r="Q48" s="72">
        <v>8.3800000000000008</v>
      </c>
      <c r="R48" s="77"/>
    </row>
    <row r="49" spans="3:18" ht="42" thickBot="1">
      <c r="C49" s="72"/>
      <c r="D49" s="72" t="s">
        <v>0</v>
      </c>
      <c r="E49" s="73">
        <v>46231</v>
      </c>
      <c r="F49" s="72" t="s">
        <v>20</v>
      </c>
      <c r="G49" s="74">
        <v>23200</v>
      </c>
      <c r="H49" s="72">
        <v>9</v>
      </c>
      <c r="I49" s="72">
        <v>9.0500000000000007</v>
      </c>
      <c r="J49" s="72">
        <v>6.4</v>
      </c>
      <c r="K49" s="72" t="s">
        <v>47</v>
      </c>
      <c r="L49" s="72">
        <v>8.6999999999999993</v>
      </c>
      <c r="M49" s="75">
        <v>7.2</v>
      </c>
      <c r="N49" s="72">
        <v>-1.5</v>
      </c>
      <c r="O49" s="72">
        <v>-17.239999999999998</v>
      </c>
      <c r="P49" s="76">
        <v>9965</v>
      </c>
      <c r="Q49" s="72">
        <v>45.54</v>
      </c>
      <c r="R49" s="77"/>
    </row>
    <row r="50" spans="3:18" ht="42" thickBot="1">
      <c r="C50" s="72"/>
      <c r="D50" s="72" t="s">
        <v>0</v>
      </c>
      <c r="E50" s="73">
        <v>46231</v>
      </c>
      <c r="F50" s="72" t="s">
        <v>1</v>
      </c>
      <c r="G50" s="74">
        <v>23200</v>
      </c>
      <c r="H50" s="74">
        <v>1025.95</v>
      </c>
      <c r="I50" s="74">
        <v>1055.3499999999999</v>
      </c>
      <c r="J50" s="74">
        <v>1025.95</v>
      </c>
      <c r="K50" s="72" t="s">
        <v>47</v>
      </c>
      <c r="L50" s="74">
        <v>1062.5</v>
      </c>
      <c r="M50" s="78">
        <v>1046.5</v>
      </c>
      <c r="N50" s="72">
        <v>-16</v>
      </c>
      <c r="O50" s="72">
        <v>-1.51</v>
      </c>
      <c r="P50" s="72">
        <v>18</v>
      </c>
      <c r="Q50" s="72">
        <v>12.23</v>
      </c>
      <c r="R50" s="77"/>
    </row>
    <row r="51" spans="3:18" ht="42" thickBot="1">
      <c r="C51" s="72"/>
      <c r="D51" s="72" t="s">
        <v>0</v>
      </c>
      <c r="E51" s="73">
        <v>46231</v>
      </c>
      <c r="F51" s="72" t="s">
        <v>20</v>
      </c>
      <c r="G51" s="74">
        <v>23250</v>
      </c>
      <c r="H51" s="72">
        <v>9.8000000000000007</v>
      </c>
      <c r="I51" s="72">
        <v>9.85</v>
      </c>
      <c r="J51" s="72">
        <v>7.05</v>
      </c>
      <c r="K51" s="72" t="s">
        <v>47</v>
      </c>
      <c r="L51" s="72">
        <v>9.4499999999999993</v>
      </c>
      <c r="M51" s="75">
        <v>7.75</v>
      </c>
      <c r="N51" s="72">
        <v>-1.7</v>
      </c>
      <c r="O51" s="72">
        <v>-17.989999999999998</v>
      </c>
      <c r="P51" s="76">
        <v>2364</v>
      </c>
      <c r="Q51" s="72">
        <v>11.65</v>
      </c>
      <c r="R51" s="77"/>
    </row>
    <row r="52" spans="3:18" ht="42" thickBot="1">
      <c r="C52" s="72"/>
      <c r="D52" s="72" t="s">
        <v>0</v>
      </c>
      <c r="E52" s="73">
        <v>46231</v>
      </c>
      <c r="F52" s="72" t="s">
        <v>20</v>
      </c>
      <c r="G52" s="74">
        <v>23300</v>
      </c>
      <c r="H52" s="72">
        <v>8.6999999999999993</v>
      </c>
      <c r="I52" s="72">
        <v>10.6</v>
      </c>
      <c r="J52" s="72">
        <v>7.95</v>
      </c>
      <c r="K52" s="72" t="s">
        <v>47</v>
      </c>
      <c r="L52" s="72">
        <v>10.35</v>
      </c>
      <c r="M52" s="75">
        <v>8.4</v>
      </c>
      <c r="N52" s="72">
        <v>-1.95</v>
      </c>
      <c r="O52" s="72">
        <v>-18.84</v>
      </c>
      <c r="P52" s="76">
        <v>6322</v>
      </c>
      <c r="Q52" s="72">
        <v>34.35</v>
      </c>
      <c r="R52" s="77"/>
    </row>
    <row r="53" spans="3:18" ht="42" thickBot="1">
      <c r="C53" s="72"/>
      <c r="D53" s="72" t="s">
        <v>0</v>
      </c>
      <c r="E53" s="73">
        <v>46231</v>
      </c>
      <c r="F53" s="72" t="s">
        <v>1</v>
      </c>
      <c r="G53" s="74">
        <v>23300</v>
      </c>
      <c r="H53" s="72">
        <v>950.4</v>
      </c>
      <c r="I53" s="72">
        <v>950.4</v>
      </c>
      <c r="J53" s="72">
        <v>950.4</v>
      </c>
      <c r="K53" s="72" t="s">
        <v>47</v>
      </c>
      <c r="L53" s="72">
        <v>964.55</v>
      </c>
      <c r="M53" s="75">
        <v>950.4</v>
      </c>
      <c r="N53" s="72">
        <v>-14.15</v>
      </c>
      <c r="O53" s="72">
        <v>-1.47</v>
      </c>
      <c r="P53" s="72">
        <v>1</v>
      </c>
      <c r="Q53" s="72">
        <v>0.62</v>
      </c>
      <c r="R53" s="77"/>
    </row>
    <row r="54" spans="3:18" ht="42" thickBot="1">
      <c r="C54" s="72"/>
      <c r="D54" s="72" t="s">
        <v>0</v>
      </c>
      <c r="E54" s="73">
        <v>46231</v>
      </c>
      <c r="F54" s="72" t="s">
        <v>20</v>
      </c>
      <c r="G54" s="74">
        <v>23350</v>
      </c>
      <c r="H54" s="72">
        <v>11.55</v>
      </c>
      <c r="I54" s="72">
        <v>11.6</v>
      </c>
      <c r="J54" s="72">
        <v>8.75</v>
      </c>
      <c r="K54" s="72" t="s">
        <v>47</v>
      </c>
      <c r="L54" s="72">
        <v>11.3</v>
      </c>
      <c r="M54" s="75">
        <v>9.25</v>
      </c>
      <c r="N54" s="72">
        <v>-2.0499999999999998</v>
      </c>
      <c r="O54" s="72">
        <v>-18.14</v>
      </c>
      <c r="P54" s="76">
        <v>3149</v>
      </c>
      <c r="Q54" s="72">
        <v>18.93</v>
      </c>
      <c r="R54" s="77"/>
    </row>
    <row r="55" spans="3:18" ht="42" thickBot="1">
      <c r="C55" s="72"/>
      <c r="D55" s="72" t="s">
        <v>0</v>
      </c>
      <c r="E55" s="73">
        <v>46231</v>
      </c>
      <c r="F55" s="72" t="s">
        <v>1</v>
      </c>
      <c r="G55" s="74">
        <v>23350</v>
      </c>
      <c r="H55" s="72">
        <v>891.65</v>
      </c>
      <c r="I55" s="72">
        <v>891.65</v>
      </c>
      <c r="J55" s="72">
        <v>890.9</v>
      </c>
      <c r="K55" s="72" t="s">
        <v>47</v>
      </c>
      <c r="L55" s="72">
        <v>910</v>
      </c>
      <c r="M55" s="75">
        <v>890.9</v>
      </c>
      <c r="N55" s="72">
        <v>-19.100000000000001</v>
      </c>
      <c r="O55" s="72">
        <v>-2.1</v>
      </c>
      <c r="P55" s="72">
        <v>2</v>
      </c>
      <c r="Q55" s="72">
        <v>1.1599999999999999</v>
      </c>
      <c r="R55" s="77"/>
    </row>
    <row r="56" spans="3:18" ht="42" thickBot="1">
      <c r="C56" s="72"/>
      <c r="D56" s="72" t="s">
        <v>0</v>
      </c>
      <c r="E56" s="73">
        <v>46231</v>
      </c>
      <c r="F56" s="72" t="s">
        <v>20</v>
      </c>
      <c r="G56" s="74">
        <v>23400</v>
      </c>
      <c r="H56" s="72">
        <v>12.4</v>
      </c>
      <c r="I56" s="72">
        <v>12.7</v>
      </c>
      <c r="J56" s="72">
        <v>10.15</v>
      </c>
      <c r="K56" s="72" t="s">
        <v>47</v>
      </c>
      <c r="L56" s="72">
        <v>13.05</v>
      </c>
      <c r="M56" s="75">
        <v>10.65</v>
      </c>
      <c r="N56" s="72">
        <v>-2.4</v>
      </c>
      <c r="O56" s="72">
        <v>-18.39</v>
      </c>
      <c r="P56" s="76">
        <v>12345</v>
      </c>
      <c r="Q56" s="72">
        <v>85.86</v>
      </c>
      <c r="R56" s="77"/>
    </row>
    <row r="57" spans="3:18" ht="42" thickBot="1">
      <c r="C57" s="72"/>
      <c r="D57" s="72" t="s">
        <v>0</v>
      </c>
      <c r="E57" s="73">
        <v>46231</v>
      </c>
      <c r="F57" s="72" t="s">
        <v>1</v>
      </c>
      <c r="G57" s="74">
        <v>23400</v>
      </c>
      <c r="H57" s="72">
        <v>847.15</v>
      </c>
      <c r="I57" s="72">
        <v>855</v>
      </c>
      <c r="J57" s="72">
        <v>834.4</v>
      </c>
      <c r="K57" s="72" t="s">
        <v>47</v>
      </c>
      <c r="L57" s="72">
        <v>872.8</v>
      </c>
      <c r="M57" s="75">
        <v>855</v>
      </c>
      <c r="N57" s="72">
        <v>-17.8</v>
      </c>
      <c r="O57" s="72">
        <v>-2.04</v>
      </c>
      <c r="P57" s="72">
        <v>10</v>
      </c>
      <c r="Q57" s="72">
        <v>5.49</v>
      </c>
      <c r="R57" s="77"/>
    </row>
    <row r="58" spans="3:18" ht="42" thickBot="1">
      <c r="C58" s="72"/>
      <c r="D58" s="72" t="s">
        <v>0</v>
      </c>
      <c r="E58" s="73">
        <v>46231</v>
      </c>
      <c r="F58" s="72" t="s">
        <v>20</v>
      </c>
      <c r="G58" s="74">
        <v>23450</v>
      </c>
      <c r="H58" s="72">
        <v>15.85</v>
      </c>
      <c r="I58" s="72">
        <v>15.85</v>
      </c>
      <c r="J58" s="72">
        <v>11.6</v>
      </c>
      <c r="K58" s="72" t="s">
        <v>47</v>
      </c>
      <c r="L58" s="72">
        <v>14.8</v>
      </c>
      <c r="M58" s="75">
        <v>12</v>
      </c>
      <c r="N58" s="72">
        <v>-2.8</v>
      </c>
      <c r="O58" s="72">
        <v>-18.920000000000002</v>
      </c>
      <c r="P58" s="76">
        <v>3281</v>
      </c>
      <c r="Q58" s="72">
        <v>26.25</v>
      </c>
      <c r="R58" s="77"/>
    </row>
    <row r="59" spans="3:18" ht="42" thickBot="1">
      <c r="C59" s="72"/>
      <c r="D59" s="72" t="s">
        <v>0</v>
      </c>
      <c r="E59" s="73">
        <v>46231</v>
      </c>
      <c r="F59" s="72" t="s">
        <v>1</v>
      </c>
      <c r="G59" s="74">
        <v>23450</v>
      </c>
      <c r="H59" s="72">
        <v>831.7</v>
      </c>
      <c r="I59" s="72">
        <v>831.9</v>
      </c>
      <c r="J59" s="72">
        <v>831.7</v>
      </c>
      <c r="K59" s="72" t="s">
        <v>47</v>
      </c>
      <c r="L59" s="72">
        <v>815</v>
      </c>
      <c r="M59" s="75">
        <v>831.9</v>
      </c>
      <c r="N59" s="72">
        <v>16.899999999999999</v>
      </c>
      <c r="O59" s="72">
        <v>2.0699999999999998</v>
      </c>
      <c r="P59" s="72">
        <v>2</v>
      </c>
      <c r="Q59" s="72">
        <v>1.08</v>
      </c>
      <c r="R59" s="77"/>
    </row>
    <row r="60" spans="3:18" ht="42" thickBot="1">
      <c r="C60" s="72"/>
      <c r="D60" s="72" t="s">
        <v>0</v>
      </c>
      <c r="E60" s="73">
        <v>46231</v>
      </c>
      <c r="F60" s="72" t="s">
        <v>20</v>
      </c>
      <c r="G60" s="74">
        <v>23500</v>
      </c>
      <c r="H60" s="72">
        <v>17.100000000000001</v>
      </c>
      <c r="I60" s="72">
        <v>17.149999999999999</v>
      </c>
      <c r="J60" s="72">
        <v>13.45</v>
      </c>
      <c r="K60" s="72" t="s">
        <v>47</v>
      </c>
      <c r="L60" s="72">
        <v>17.100000000000001</v>
      </c>
      <c r="M60" s="75">
        <v>14.05</v>
      </c>
      <c r="N60" s="72">
        <v>-3.05</v>
      </c>
      <c r="O60" s="72">
        <v>-17.84</v>
      </c>
      <c r="P60" s="76">
        <v>20348</v>
      </c>
      <c r="Q60" s="72">
        <v>188.61</v>
      </c>
      <c r="R60" s="77"/>
    </row>
    <row r="61" spans="3:18" ht="42" thickBot="1">
      <c r="C61" s="72"/>
      <c r="D61" s="72" t="s">
        <v>0</v>
      </c>
      <c r="E61" s="73">
        <v>46231</v>
      </c>
      <c r="F61" s="72" t="s">
        <v>1</v>
      </c>
      <c r="G61" s="74">
        <v>23500</v>
      </c>
      <c r="H61" s="72">
        <v>719</v>
      </c>
      <c r="I61" s="72">
        <v>783.15</v>
      </c>
      <c r="J61" s="72">
        <v>719</v>
      </c>
      <c r="K61" s="72" t="s">
        <v>47</v>
      </c>
      <c r="L61" s="72">
        <v>769.85</v>
      </c>
      <c r="M61" s="75">
        <v>752.3</v>
      </c>
      <c r="N61" s="72">
        <v>-17.55</v>
      </c>
      <c r="O61" s="72">
        <v>-2.2799999999999998</v>
      </c>
      <c r="P61" s="72">
        <v>193</v>
      </c>
      <c r="Q61" s="72">
        <v>94.96</v>
      </c>
      <c r="R61" s="77"/>
    </row>
    <row r="62" spans="3:18" ht="42" thickBot="1">
      <c r="C62" s="72"/>
      <c r="D62" s="72" t="s">
        <v>0</v>
      </c>
      <c r="E62" s="73">
        <v>46231</v>
      </c>
      <c r="F62" s="72" t="s">
        <v>20</v>
      </c>
      <c r="G62" s="74">
        <v>23550</v>
      </c>
      <c r="H62" s="72">
        <v>24</v>
      </c>
      <c r="I62" s="72">
        <v>24</v>
      </c>
      <c r="J62" s="72">
        <v>15.7</v>
      </c>
      <c r="K62" s="72" t="s">
        <v>47</v>
      </c>
      <c r="L62" s="72">
        <v>19.75</v>
      </c>
      <c r="M62" s="75">
        <v>16.399999999999999</v>
      </c>
      <c r="N62" s="72">
        <v>-3.35</v>
      </c>
      <c r="O62" s="72">
        <v>-16.96</v>
      </c>
      <c r="P62" s="76">
        <v>4291</v>
      </c>
      <c r="Q62" s="72">
        <v>46.38</v>
      </c>
      <c r="R62" s="77"/>
    </row>
    <row r="63" spans="3:18" ht="42" thickBot="1">
      <c r="C63" s="72"/>
      <c r="D63" s="72" t="s">
        <v>0</v>
      </c>
      <c r="E63" s="73">
        <v>46231</v>
      </c>
      <c r="F63" s="72" t="s">
        <v>1</v>
      </c>
      <c r="G63" s="74">
        <v>23550</v>
      </c>
      <c r="H63" s="72">
        <v>719.05</v>
      </c>
      <c r="I63" s="72">
        <v>719.05</v>
      </c>
      <c r="J63" s="72">
        <v>719.05</v>
      </c>
      <c r="K63" s="72" t="s">
        <v>47</v>
      </c>
      <c r="L63" s="72">
        <v>719.05</v>
      </c>
      <c r="M63" s="75">
        <v>719.05</v>
      </c>
      <c r="N63" s="72">
        <v>0</v>
      </c>
      <c r="O63" s="72">
        <v>0</v>
      </c>
      <c r="P63" s="72">
        <v>1</v>
      </c>
      <c r="Q63" s="72">
        <v>0.47</v>
      </c>
      <c r="R63" s="77"/>
    </row>
    <row r="64" spans="3:18" ht="42" thickBot="1">
      <c r="C64" s="72"/>
      <c r="D64" s="72" t="s">
        <v>0</v>
      </c>
      <c r="E64" s="73">
        <v>46231</v>
      </c>
      <c r="F64" s="72" t="s">
        <v>20</v>
      </c>
      <c r="G64" s="74">
        <v>23600</v>
      </c>
      <c r="H64" s="72">
        <v>22.85</v>
      </c>
      <c r="I64" s="72">
        <v>24</v>
      </c>
      <c r="J64" s="72">
        <v>18.55</v>
      </c>
      <c r="K64" s="72" t="s">
        <v>47</v>
      </c>
      <c r="L64" s="72">
        <v>23.25</v>
      </c>
      <c r="M64" s="75">
        <v>19.45</v>
      </c>
      <c r="N64" s="72">
        <v>-3.8</v>
      </c>
      <c r="O64" s="72">
        <v>-16.34</v>
      </c>
      <c r="P64" s="76">
        <v>15743</v>
      </c>
      <c r="Q64" s="72">
        <v>203.64</v>
      </c>
      <c r="R64" s="77"/>
    </row>
    <row r="65" spans="2:19" ht="42" thickBot="1">
      <c r="B65" s="93"/>
      <c r="C65" s="72"/>
      <c r="D65" s="72" t="s">
        <v>0</v>
      </c>
      <c r="E65" s="73">
        <v>46231</v>
      </c>
      <c r="F65" s="72" t="s">
        <v>1</v>
      </c>
      <c r="G65" s="74">
        <v>23600</v>
      </c>
      <c r="H65" s="72">
        <v>663.15</v>
      </c>
      <c r="I65" s="72">
        <v>677.95</v>
      </c>
      <c r="J65" s="72">
        <v>642.45000000000005</v>
      </c>
      <c r="K65" s="72" t="s">
        <v>47</v>
      </c>
      <c r="L65" s="72">
        <v>679.1</v>
      </c>
      <c r="M65" s="75">
        <v>651.54999999999995</v>
      </c>
      <c r="N65" s="72">
        <v>-27.55</v>
      </c>
      <c r="O65" s="72">
        <v>-4.0599999999999996</v>
      </c>
      <c r="P65" s="72">
        <v>329</v>
      </c>
      <c r="Q65" s="72">
        <v>142.25</v>
      </c>
      <c r="R65" s="77"/>
    </row>
    <row r="66" spans="2:19" ht="42" thickBot="1">
      <c r="C66" s="72"/>
      <c r="D66" s="72" t="s">
        <v>0</v>
      </c>
      <c r="E66" s="73">
        <v>46231</v>
      </c>
      <c r="F66" s="72" t="s">
        <v>20</v>
      </c>
      <c r="G66" s="74">
        <v>23650</v>
      </c>
      <c r="H66" s="72">
        <v>26.7</v>
      </c>
      <c r="I66" s="72">
        <v>28.2</v>
      </c>
      <c r="J66" s="72">
        <v>22.2</v>
      </c>
      <c r="K66" s="72" t="s">
        <v>47</v>
      </c>
      <c r="L66" s="72">
        <v>27.4</v>
      </c>
      <c r="M66" s="75">
        <v>23.3</v>
      </c>
      <c r="N66" s="72">
        <v>-4.0999999999999996</v>
      </c>
      <c r="O66" s="72">
        <v>-14.96</v>
      </c>
      <c r="P66" s="76">
        <v>3875</v>
      </c>
      <c r="Q66" s="72">
        <v>60.4</v>
      </c>
      <c r="R66" s="77"/>
    </row>
    <row r="67" spans="2:19" ht="42" thickBot="1">
      <c r="C67" s="72"/>
      <c r="D67" s="72" t="s">
        <v>0</v>
      </c>
      <c r="E67" s="73">
        <v>46231</v>
      </c>
      <c r="F67" s="72" t="s">
        <v>1</v>
      </c>
      <c r="G67" s="74">
        <v>23650</v>
      </c>
      <c r="H67" s="72">
        <v>634.9</v>
      </c>
      <c r="I67" s="72">
        <v>634.9</v>
      </c>
      <c r="J67" s="72">
        <v>600</v>
      </c>
      <c r="K67" s="72" t="s">
        <v>47</v>
      </c>
      <c r="L67" s="72">
        <v>634.9</v>
      </c>
      <c r="M67" s="75">
        <v>618.79999999999995</v>
      </c>
      <c r="N67" s="72">
        <v>-16.100000000000001</v>
      </c>
      <c r="O67" s="72">
        <v>-2.54</v>
      </c>
      <c r="P67" s="72">
        <v>21</v>
      </c>
      <c r="Q67" s="72">
        <v>8.41</v>
      </c>
      <c r="R67" s="77"/>
    </row>
    <row r="68" spans="2:19" ht="42" thickBot="1">
      <c r="C68" s="72"/>
      <c r="D68" s="72" t="s">
        <v>0</v>
      </c>
      <c r="E68" s="73">
        <v>46231</v>
      </c>
      <c r="F68" s="72" t="s">
        <v>20</v>
      </c>
      <c r="G68" s="74">
        <v>23700</v>
      </c>
      <c r="H68" s="72">
        <v>33</v>
      </c>
      <c r="I68" s="72">
        <v>35.15</v>
      </c>
      <c r="J68" s="72">
        <v>26.45</v>
      </c>
      <c r="K68" s="72" t="s">
        <v>47</v>
      </c>
      <c r="L68" s="72">
        <v>32.6</v>
      </c>
      <c r="M68" s="75">
        <v>28</v>
      </c>
      <c r="N68" s="72">
        <v>-4.5999999999999996</v>
      </c>
      <c r="O68" s="72">
        <v>-14.11</v>
      </c>
      <c r="P68" s="76">
        <v>22836</v>
      </c>
      <c r="Q68" s="72">
        <v>425.86</v>
      </c>
      <c r="R68" s="77"/>
    </row>
    <row r="69" spans="2:19" ht="42" thickBot="1">
      <c r="C69" s="72"/>
      <c r="D69" s="72" t="s">
        <v>0</v>
      </c>
      <c r="E69" s="73">
        <v>46231</v>
      </c>
      <c r="F69" s="72" t="s">
        <v>1</v>
      </c>
      <c r="G69" s="74">
        <v>23700</v>
      </c>
      <c r="H69" s="72">
        <v>558.4</v>
      </c>
      <c r="I69" s="72">
        <v>590.04999999999995</v>
      </c>
      <c r="J69" s="72">
        <v>550.29999999999995</v>
      </c>
      <c r="K69" s="72" t="s">
        <v>47</v>
      </c>
      <c r="L69" s="72">
        <v>590</v>
      </c>
      <c r="M69" s="75">
        <v>564.15</v>
      </c>
      <c r="N69" s="72">
        <v>-25.85</v>
      </c>
      <c r="O69" s="72">
        <v>-4.38</v>
      </c>
      <c r="P69" s="72">
        <v>122</v>
      </c>
      <c r="Q69" s="72">
        <v>45.02</v>
      </c>
      <c r="R69" s="77"/>
      <c r="S69" s="61"/>
    </row>
    <row r="70" spans="2:19" ht="42" thickBot="1">
      <c r="C70" s="72"/>
      <c r="D70" s="72" t="s">
        <v>0</v>
      </c>
      <c r="E70" s="73">
        <v>46231</v>
      </c>
      <c r="F70" s="72" t="s">
        <v>20</v>
      </c>
      <c r="G70" s="74">
        <v>23750</v>
      </c>
      <c r="H70" s="72">
        <v>38.200000000000003</v>
      </c>
      <c r="I70" s="72">
        <v>39.75</v>
      </c>
      <c r="J70" s="72">
        <v>31.7</v>
      </c>
      <c r="K70" s="72" t="s">
        <v>47</v>
      </c>
      <c r="L70" s="72">
        <v>38.049999999999997</v>
      </c>
      <c r="M70" s="75">
        <v>33.450000000000003</v>
      </c>
      <c r="N70" s="72">
        <v>-4.5999999999999996</v>
      </c>
      <c r="O70" s="72">
        <v>-12.09</v>
      </c>
      <c r="P70" s="76">
        <v>7497</v>
      </c>
      <c r="Q70" s="72">
        <v>166.37</v>
      </c>
      <c r="R70" s="77"/>
    </row>
    <row r="71" spans="2:19" ht="42" thickBot="1">
      <c r="C71" s="72"/>
      <c r="D71" s="72" t="s">
        <v>0</v>
      </c>
      <c r="E71" s="73">
        <v>46231</v>
      </c>
      <c r="F71" s="72" t="s">
        <v>1</v>
      </c>
      <c r="G71" s="74">
        <v>23750</v>
      </c>
      <c r="H71" s="72">
        <v>542</v>
      </c>
      <c r="I71" s="72">
        <v>544</v>
      </c>
      <c r="J71" s="72">
        <v>512.1</v>
      </c>
      <c r="K71" s="72" t="s">
        <v>47</v>
      </c>
      <c r="L71" s="72">
        <v>546.54999999999995</v>
      </c>
      <c r="M71" s="75">
        <v>526.29999999999995</v>
      </c>
      <c r="N71" s="72">
        <v>-20.25</v>
      </c>
      <c r="O71" s="72">
        <v>-3.71</v>
      </c>
      <c r="P71" s="72">
        <v>105</v>
      </c>
      <c r="Q71" s="72">
        <v>35.950000000000003</v>
      </c>
      <c r="R71" s="77"/>
    </row>
    <row r="72" spans="2:19" ht="42" thickBot="1">
      <c r="C72" s="72"/>
      <c r="D72" s="72" t="s">
        <v>0</v>
      </c>
      <c r="E72" s="73">
        <v>46231</v>
      </c>
      <c r="F72" s="72" t="s">
        <v>20</v>
      </c>
      <c r="G72" s="74">
        <v>23800</v>
      </c>
      <c r="H72" s="72">
        <v>47.95</v>
      </c>
      <c r="I72" s="72">
        <v>48.1</v>
      </c>
      <c r="J72" s="72">
        <v>37.799999999999997</v>
      </c>
      <c r="K72" s="72" t="s">
        <v>47</v>
      </c>
      <c r="L72" s="72">
        <v>44.75</v>
      </c>
      <c r="M72" s="75">
        <v>40.25</v>
      </c>
      <c r="N72" s="72">
        <v>-4.5</v>
      </c>
      <c r="O72" s="72">
        <v>-10.06</v>
      </c>
      <c r="P72" s="76">
        <v>18467</v>
      </c>
      <c r="Q72" s="72">
        <v>489.74</v>
      </c>
      <c r="R72" s="77"/>
    </row>
    <row r="73" spans="2:19" ht="42" thickBot="1">
      <c r="C73" s="72"/>
      <c r="D73" s="72" t="s">
        <v>0</v>
      </c>
      <c r="E73" s="73">
        <v>46231</v>
      </c>
      <c r="F73" s="72" t="s">
        <v>1</v>
      </c>
      <c r="G73" s="74">
        <v>23800</v>
      </c>
      <c r="H73" s="72">
        <v>479.95</v>
      </c>
      <c r="I73" s="72">
        <v>509.3</v>
      </c>
      <c r="J73" s="72">
        <v>461.8</v>
      </c>
      <c r="K73" s="72" t="s">
        <v>47</v>
      </c>
      <c r="L73" s="72">
        <v>505.15</v>
      </c>
      <c r="M73" s="75">
        <v>474.5</v>
      </c>
      <c r="N73" s="72">
        <v>-30.65</v>
      </c>
      <c r="O73" s="72">
        <v>-6.07</v>
      </c>
      <c r="P73" s="76">
        <v>1473</v>
      </c>
      <c r="Q73" s="72">
        <v>465.51</v>
      </c>
      <c r="R73" s="77"/>
    </row>
    <row r="74" spans="2:19" ht="42" thickBot="1">
      <c r="C74" s="72"/>
      <c r="D74" s="72" t="s">
        <v>0</v>
      </c>
      <c r="E74" s="73">
        <v>46231</v>
      </c>
      <c r="F74" s="72" t="s">
        <v>20</v>
      </c>
      <c r="G74" s="74">
        <v>23850</v>
      </c>
      <c r="H74" s="72">
        <v>57</v>
      </c>
      <c r="I74" s="72">
        <v>57</v>
      </c>
      <c r="J74" s="72">
        <v>45.2</v>
      </c>
      <c r="K74" s="72" t="s">
        <v>47</v>
      </c>
      <c r="L74" s="72">
        <v>52.55</v>
      </c>
      <c r="M74" s="75">
        <v>48.1</v>
      </c>
      <c r="N74" s="72">
        <v>-4.45</v>
      </c>
      <c r="O74" s="72">
        <v>-8.4700000000000006</v>
      </c>
      <c r="P74" s="76">
        <v>5406</v>
      </c>
      <c r="Q74" s="72">
        <v>171.48</v>
      </c>
      <c r="R74" s="77"/>
    </row>
    <row r="75" spans="2:19" ht="42" thickBot="1">
      <c r="C75" s="72"/>
      <c r="D75" s="72" t="s">
        <v>0</v>
      </c>
      <c r="E75" s="73">
        <v>46231</v>
      </c>
      <c r="F75" s="72" t="s">
        <v>1</v>
      </c>
      <c r="G75" s="74">
        <v>23850</v>
      </c>
      <c r="H75" s="72">
        <v>439.95</v>
      </c>
      <c r="I75" s="72">
        <v>454.55</v>
      </c>
      <c r="J75" s="72">
        <v>426.35</v>
      </c>
      <c r="K75" s="72" t="s">
        <v>47</v>
      </c>
      <c r="L75" s="72">
        <v>461.05</v>
      </c>
      <c r="M75" s="75">
        <v>441.55</v>
      </c>
      <c r="N75" s="72">
        <v>-19.5</v>
      </c>
      <c r="O75" s="72">
        <v>-4.2300000000000004</v>
      </c>
      <c r="P75" s="72">
        <v>20</v>
      </c>
      <c r="Q75" s="72">
        <v>5.74</v>
      </c>
      <c r="R75" s="77"/>
    </row>
    <row r="76" spans="2:19" s="61" customFormat="1" ht="42" thickBot="1">
      <c r="B76" s="137"/>
      <c r="C76" s="72"/>
      <c r="D76" s="72" t="s">
        <v>0</v>
      </c>
      <c r="E76" s="73">
        <v>46231</v>
      </c>
      <c r="F76" s="72" t="s">
        <v>20</v>
      </c>
      <c r="G76" s="74">
        <v>23900</v>
      </c>
      <c r="H76" s="72">
        <v>55</v>
      </c>
      <c r="I76" s="72">
        <v>69.3</v>
      </c>
      <c r="J76" s="72">
        <v>53.5</v>
      </c>
      <c r="K76" s="72" t="s">
        <v>47</v>
      </c>
      <c r="L76" s="72">
        <v>61.55</v>
      </c>
      <c r="M76" s="75">
        <v>56.8</v>
      </c>
      <c r="N76" s="72">
        <v>-4.75</v>
      </c>
      <c r="O76" s="72">
        <v>-7.72</v>
      </c>
      <c r="P76" s="76">
        <v>19681</v>
      </c>
      <c r="Q76" s="72">
        <v>726.49</v>
      </c>
      <c r="R76" s="77"/>
      <c r="S76" s="135"/>
    </row>
    <row r="77" spans="2:19" ht="42" thickBot="1">
      <c r="C77" s="72"/>
      <c r="D77" s="72" t="s">
        <v>0</v>
      </c>
      <c r="E77" s="73">
        <v>46231</v>
      </c>
      <c r="F77" s="72" t="s">
        <v>1</v>
      </c>
      <c r="G77" s="74">
        <v>23900</v>
      </c>
      <c r="H77" s="72">
        <v>386.45</v>
      </c>
      <c r="I77" s="72">
        <v>419.9</v>
      </c>
      <c r="J77" s="72">
        <v>380</v>
      </c>
      <c r="K77" s="72" t="s">
        <v>47</v>
      </c>
      <c r="L77" s="72">
        <v>417.9</v>
      </c>
      <c r="M77" s="75">
        <v>388.6</v>
      </c>
      <c r="N77" s="72">
        <v>-29.3</v>
      </c>
      <c r="O77" s="72">
        <v>-7.01</v>
      </c>
      <c r="P77" s="72">
        <v>907</v>
      </c>
      <c r="Q77" s="72">
        <v>236.8</v>
      </c>
      <c r="R77" s="77"/>
    </row>
    <row r="78" spans="2:19" ht="42" thickBot="1">
      <c r="C78" s="72"/>
      <c r="D78" s="72" t="s">
        <v>0</v>
      </c>
      <c r="E78" s="73">
        <v>46231</v>
      </c>
      <c r="F78" s="72" t="s">
        <v>20</v>
      </c>
      <c r="G78" s="74">
        <v>23950</v>
      </c>
      <c r="H78" s="72">
        <v>79.2</v>
      </c>
      <c r="I78" s="72">
        <v>79.2</v>
      </c>
      <c r="J78" s="72">
        <v>64.349999999999994</v>
      </c>
      <c r="K78" s="72" t="s">
        <v>47</v>
      </c>
      <c r="L78" s="72">
        <v>72.3</v>
      </c>
      <c r="M78" s="75">
        <v>68.599999999999994</v>
      </c>
      <c r="N78" s="72">
        <v>-3.7</v>
      </c>
      <c r="O78" s="72">
        <v>-5.12</v>
      </c>
      <c r="P78" s="76">
        <v>3713</v>
      </c>
      <c r="Q78" s="72">
        <v>164.65</v>
      </c>
      <c r="R78" s="77"/>
    </row>
    <row r="79" spans="2:19" ht="42" thickBot="1">
      <c r="C79" s="72"/>
      <c r="D79" s="72" t="s">
        <v>0</v>
      </c>
      <c r="E79" s="73">
        <v>46231</v>
      </c>
      <c r="F79" s="72" t="s">
        <v>1</v>
      </c>
      <c r="G79" s="74">
        <v>23950</v>
      </c>
      <c r="H79" s="72">
        <v>357.45</v>
      </c>
      <c r="I79" s="72">
        <v>380.1</v>
      </c>
      <c r="J79" s="72">
        <v>345.35</v>
      </c>
      <c r="K79" s="72" t="s">
        <v>47</v>
      </c>
      <c r="L79" s="72">
        <v>381.05</v>
      </c>
      <c r="M79" s="75">
        <v>357.7</v>
      </c>
      <c r="N79" s="72">
        <v>-23.35</v>
      </c>
      <c r="O79" s="72">
        <v>-6.13</v>
      </c>
      <c r="P79" s="72">
        <v>205</v>
      </c>
      <c r="Q79" s="72">
        <v>48.5</v>
      </c>
      <c r="R79" s="77"/>
    </row>
    <row r="80" spans="2:19" s="95" customFormat="1" ht="42" thickBot="1">
      <c r="C80" s="72"/>
      <c r="D80" s="72" t="s">
        <v>0</v>
      </c>
      <c r="E80" s="73">
        <v>46231</v>
      </c>
      <c r="F80" s="72" t="s">
        <v>20</v>
      </c>
      <c r="G80" s="74">
        <v>24000</v>
      </c>
      <c r="H80" s="72">
        <v>98</v>
      </c>
      <c r="I80" s="72">
        <v>98.05</v>
      </c>
      <c r="J80" s="72">
        <v>76.2</v>
      </c>
      <c r="K80" s="72" t="s">
        <v>47</v>
      </c>
      <c r="L80" s="72">
        <v>84.95</v>
      </c>
      <c r="M80" s="75">
        <v>81.150000000000006</v>
      </c>
      <c r="N80" s="72">
        <v>-3.8</v>
      </c>
      <c r="O80" s="72">
        <v>-4.47</v>
      </c>
      <c r="P80" s="76">
        <v>24306</v>
      </c>
      <c r="Q80" s="74">
        <v>1280.82</v>
      </c>
      <c r="R80" s="77"/>
    </row>
    <row r="81" spans="3:19" s="61" customFormat="1" ht="42" thickBot="1">
      <c r="C81" s="72"/>
      <c r="D81" s="72" t="s">
        <v>0</v>
      </c>
      <c r="E81" s="73">
        <v>46231</v>
      </c>
      <c r="F81" s="72" t="s">
        <v>1</v>
      </c>
      <c r="G81" s="74">
        <v>24000</v>
      </c>
      <c r="H81" s="72">
        <v>301.60000000000002</v>
      </c>
      <c r="I81" s="72">
        <v>347.9</v>
      </c>
      <c r="J81" s="72">
        <v>280.05</v>
      </c>
      <c r="K81" s="72" t="s">
        <v>47</v>
      </c>
      <c r="L81" s="72">
        <v>343.05</v>
      </c>
      <c r="M81" s="75">
        <v>313.89999999999998</v>
      </c>
      <c r="N81" s="72">
        <v>-29.15</v>
      </c>
      <c r="O81" s="72">
        <v>-8.5</v>
      </c>
      <c r="P81" s="76">
        <v>8961</v>
      </c>
      <c r="Q81" s="74">
        <v>1894.93</v>
      </c>
      <c r="R81" s="77"/>
    </row>
    <row r="82" spans="3:19" ht="42" thickBot="1">
      <c r="C82" s="72"/>
      <c r="D82" s="72" t="s">
        <v>0</v>
      </c>
      <c r="E82" s="73">
        <v>46231</v>
      </c>
      <c r="F82" s="72" t="s">
        <v>20</v>
      </c>
      <c r="G82" s="74">
        <v>24050</v>
      </c>
      <c r="H82" s="72">
        <v>110</v>
      </c>
      <c r="I82" s="72">
        <v>110</v>
      </c>
      <c r="J82" s="72">
        <v>90</v>
      </c>
      <c r="K82" s="72" t="s">
        <v>47</v>
      </c>
      <c r="L82" s="72">
        <v>98.85</v>
      </c>
      <c r="M82" s="75">
        <v>95.6</v>
      </c>
      <c r="N82" s="72">
        <v>-3.25</v>
      </c>
      <c r="O82" s="72">
        <v>-3.29</v>
      </c>
      <c r="P82" s="76">
        <v>5549</v>
      </c>
      <c r="Q82" s="72">
        <v>343.23</v>
      </c>
      <c r="R82" s="77"/>
    </row>
    <row r="83" spans="3:19" ht="42" thickBot="1">
      <c r="C83" s="72"/>
      <c r="D83" s="72" t="s">
        <v>0</v>
      </c>
      <c r="E83" s="73">
        <v>46231</v>
      </c>
      <c r="F83" s="72" t="s">
        <v>1</v>
      </c>
      <c r="G83" s="74">
        <v>24050</v>
      </c>
      <c r="H83" s="72">
        <v>256.45</v>
      </c>
      <c r="I83" s="72">
        <v>310</v>
      </c>
      <c r="J83" s="72">
        <v>256.45</v>
      </c>
      <c r="K83" s="72" t="s">
        <v>47</v>
      </c>
      <c r="L83" s="72">
        <v>305</v>
      </c>
      <c r="M83" s="75">
        <v>278.85000000000002</v>
      </c>
      <c r="N83" s="72">
        <v>-26.15</v>
      </c>
      <c r="O83" s="72">
        <v>-8.57</v>
      </c>
      <c r="P83" s="72">
        <v>833</v>
      </c>
      <c r="Q83" s="72">
        <v>156.82</v>
      </c>
      <c r="R83" s="77"/>
    </row>
    <row r="84" spans="3:19" ht="42" thickBot="1">
      <c r="C84" s="72"/>
      <c r="D84" s="72" t="s">
        <v>0</v>
      </c>
      <c r="E84" s="73">
        <v>46231</v>
      </c>
      <c r="F84" s="72" t="s">
        <v>20</v>
      </c>
      <c r="G84" s="74">
        <v>24100</v>
      </c>
      <c r="H84" s="72">
        <v>110</v>
      </c>
      <c r="I84" s="72">
        <v>129.94999999999999</v>
      </c>
      <c r="J84" s="72">
        <v>104.95</v>
      </c>
      <c r="K84" s="72" t="s">
        <v>47</v>
      </c>
      <c r="L84" s="72">
        <v>114.35</v>
      </c>
      <c r="M84" s="75">
        <v>112.25</v>
      </c>
      <c r="N84" s="72">
        <v>-2.1</v>
      </c>
      <c r="O84" s="72">
        <v>-1.84</v>
      </c>
      <c r="P84" s="76">
        <v>25584</v>
      </c>
      <c r="Q84" s="74">
        <v>1851.04</v>
      </c>
      <c r="R84" s="77"/>
    </row>
    <row r="85" spans="3:19" ht="42" thickBot="1">
      <c r="C85" s="72"/>
      <c r="D85" s="72" t="s">
        <v>0</v>
      </c>
      <c r="E85" s="73">
        <v>46231</v>
      </c>
      <c r="F85" s="72" t="s">
        <v>1</v>
      </c>
      <c r="G85" s="74">
        <v>24100</v>
      </c>
      <c r="H85" s="72">
        <v>230</v>
      </c>
      <c r="I85" s="72">
        <v>276.2</v>
      </c>
      <c r="J85" s="72">
        <v>227.65</v>
      </c>
      <c r="K85" s="72" t="s">
        <v>47</v>
      </c>
      <c r="L85" s="72">
        <v>272.7</v>
      </c>
      <c r="M85" s="75">
        <v>244.6</v>
      </c>
      <c r="N85" s="72">
        <v>-28.1</v>
      </c>
      <c r="O85" s="72">
        <v>-10.3</v>
      </c>
      <c r="P85" s="76">
        <v>14738</v>
      </c>
      <c r="Q85" s="74">
        <v>2438.9</v>
      </c>
      <c r="R85" s="77"/>
    </row>
    <row r="86" spans="3:19" ht="42" thickBot="1">
      <c r="C86" s="72"/>
      <c r="D86" s="72" t="s">
        <v>0</v>
      </c>
      <c r="E86" s="73">
        <v>46231</v>
      </c>
      <c r="F86" s="72" t="s">
        <v>20</v>
      </c>
      <c r="G86" s="74">
        <v>24150</v>
      </c>
      <c r="H86" s="72">
        <v>147.30000000000001</v>
      </c>
      <c r="I86" s="72">
        <v>151.9</v>
      </c>
      <c r="J86" s="72">
        <v>122.7</v>
      </c>
      <c r="K86" s="72" t="s">
        <v>47</v>
      </c>
      <c r="L86" s="72">
        <v>133.05000000000001</v>
      </c>
      <c r="M86" s="75">
        <v>131.05000000000001</v>
      </c>
      <c r="N86" s="72">
        <v>-2</v>
      </c>
      <c r="O86" s="72">
        <v>-1.5</v>
      </c>
      <c r="P86" s="76">
        <v>7387</v>
      </c>
      <c r="Q86" s="72">
        <v>622.80999999999995</v>
      </c>
      <c r="R86" s="77"/>
    </row>
    <row r="87" spans="3:19" ht="42" thickBot="1">
      <c r="C87" s="141"/>
      <c r="D87" s="141" t="s">
        <v>0</v>
      </c>
      <c r="E87" s="142">
        <v>46231</v>
      </c>
      <c r="F87" s="141" t="s">
        <v>1</v>
      </c>
      <c r="G87" s="143">
        <v>24150</v>
      </c>
      <c r="H87" s="141">
        <v>212</v>
      </c>
      <c r="I87" s="141">
        <v>242.9</v>
      </c>
      <c r="J87" s="141">
        <v>202.1</v>
      </c>
      <c r="K87" s="141" t="s">
        <v>47</v>
      </c>
      <c r="L87" s="141">
        <v>240.4</v>
      </c>
      <c r="M87" s="144">
        <v>212.85</v>
      </c>
      <c r="N87" s="141">
        <v>-27.55</v>
      </c>
      <c r="O87" s="141">
        <v>-11.46</v>
      </c>
      <c r="P87" s="145">
        <v>5488</v>
      </c>
      <c r="Q87" s="141">
        <v>796.02</v>
      </c>
      <c r="R87" s="146"/>
      <c r="S87" s="61"/>
    </row>
    <row r="88" spans="3:19" ht="42" thickBot="1">
      <c r="C88" s="72"/>
      <c r="D88" s="72" t="s">
        <v>0</v>
      </c>
      <c r="E88" s="73">
        <v>46231</v>
      </c>
      <c r="F88" s="72" t="s">
        <v>1</v>
      </c>
      <c r="G88" s="74">
        <v>24200</v>
      </c>
      <c r="H88" s="72">
        <v>180</v>
      </c>
      <c r="I88" s="72">
        <v>213.1</v>
      </c>
      <c r="J88" s="72">
        <v>172.1</v>
      </c>
      <c r="K88" s="72" t="s">
        <v>47</v>
      </c>
      <c r="L88" s="72">
        <v>210.5</v>
      </c>
      <c r="M88" s="75">
        <v>184.7</v>
      </c>
      <c r="N88" s="72">
        <v>-25.8</v>
      </c>
      <c r="O88" s="72">
        <v>-12.26</v>
      </c>
      <c r="P88" s="76">
        <v>57472</v>
      </c>
      <c r="Q88" s="74">
        <v>7230.78</v>
      </c>
      <c r="R88" s="86"/>
    </row>
    <row r="89" spans="3:19" ht="42" thickBot="1">
      <c r="C89" s="72"/>
      <c r="D89" s="72" t="s">
        <v>0</v>
      </c>
      <c r="E89" s="73">
        <v>46231</v>
      </c>
      <c r="F89" s="72" t="s">
        <v>20</v>
      </c>
      <c r="G89" s="74">
        <v>24200</v>
      </c>
      <c r="H89" s="72">
        <v>167.9</v>
      </c>
      <c r="I89" s="72">
        <v>173.65</v>
      </c>
      <c r="J89" s="72">
        <v>142.05000000000001</v>
      </c>
      <c r="K89" s="72" t="s">
        <v>47</v>
      </c>
      <c r="L89" s="72">
        <v>152.4</v>
      </c>
      <c r="M89" s="75">
        <v>152</v>
      </c>
      <c r="N89" s="72">
        <v>-0.4</v>
      </c>
      <c r="O89" s="72">
        <v>-0.26</v>
      </c>
      <c r="P89" s="76">
        <v>51749</v>
      </c>
      <c r="Q89" s="74">
        <v>5071.76</v>
      </c>
      <c r="R89" s="77"/>
    </row>
    <row r="90" spans="3:19" ht="42" thickBot="1">
      <c r="C90" s="72"/>
      <c r="D90" s="72" t="s">
        <v>0</v>
      </c>
      <c r="E90" s="73">
        <v>46231</v>
      </c>
      <c r="F90" s="72" t="s">
        <v>1</v>
      </c>
      <c r="G90" s="74">
        <v>24250</v>
      </c>
      <c r="H90" s="72">
        <v>168</v>
      </c>
      <c r="I90" s="72">
        <v>185.5</v>
      </c>
      <c r="J90" s="72">
        <v>150.65</v>
      </c>
      <c r="K90" s="72" t="s">
        <v>47</v>
      </c>
      <c r="L90" s="72">
        <v>184.3</v>
      </c>
      <c r="M90" s="75">
        <v>158.75</v>
      </c>
      <c r="N90" s="72">
        <v>-25.55</v>
      </c>
      <c r="O90" s="72">
        <v>-13.86</v>
      </c>
      <c r="P90" s="76">
        <v>24690</v>
      </c>
      <c r="Q90" s="74">
        <v>2681.38</v>
      </c>
      <c r="R90" s="77"/>
    </row>
    <row r="91" spans="3:19" ht="42" thickBot="1">
      <c r="C91" s="72"/>
      <c r="D91" s="72" t="s">
        <v>0</v>
      </c>
      <c r="E91" s="73">
        <v>46231</v>
      </c>
      <c r="F91" s="72" t="s">
        <v>20</v>
      </c>
      <c r="G91" s="74">
        <v>24250</v>
      </c>
      <c r="H91" s="72">
        <v>189.75</v>
      </c>
      <c r="I91" s="72">
        <v>196.75</v>
      </c>
      <c r="J91" s="72">
        <v>163.5</v>
      </c>
      <c r="K91" s="72" t="s">
        <v>47</v>
      </c>
      <c r="L91" s="72">
        <v>174.5</v>
      </c>
      <c r="M91" s="75">
        <v>174.7</v>
      </c>
      <c r="N91" s="72">
        <v>0.2</v>
      </c>
      <c r="O91" s="72">
        <v>0.11</v>
      </c>
      <c r="P91" s="76">
        <v>17998</v>
      </c>
      <c r="Q91" s="74">
        <v>2016.39</v>
      </c>
      <c r="R91" s="77"/>
    </row>
    <row r="92" spans="3:19" ht="42" thickBot="1">
      <c r="C92" s="72"/>
      <c r="D92" s="72" t="s">
        <v>0</v>
      </c>
      <c r="E92" s="73">
        <v>46231</v>
      </c>
      <c r="F92" s="72" t="s">
        <v>1</v>
      </c>
      <c r="G92" s="74">
        <v>24300</v>
      </c>
      <c r="H92" s="72">
        <v>144</v>
      </c>
      <c r="I92" s="72">
        <v>159</v>
      </c>
      <c r="J92" s="72">
        <v>126.45</v>
      </c>
      <c r="K92" s="72" t="s">
        <v>47</v>
      </c>
      <c r="L92" s="72">
        <v>158.6</v>
      </c>
      <c r="M92" s="75">
        <v>133.55000000000001</v>
      </c>
      <c r="N92" s="72">
        <v>-25.05</v>
      </c>
      <c r="O92" s="72">
        <v>-15.79</v>
      </c>
      <c r="P92" s="76">
        <v>36510</v>
      </c>
      <c r="Q92" s="74">
        <v>3370.35</v>
      </c>
      <c r="R92" s="77"/>
    </row>
    <row r="93" spans="3:19" ht="42" thickBot="1">
      <c r="C93" s="72"/>
      <c r="D93" s="72" t="s">
        <v>0</v>
      </c>
      <c r="E93" s="73">
        <v>46231</v>
      </c>
      <c r="F93" s="72" t="s">
        <v>20</v>
      </c>
      <c r="G93" s="74">
        <v>24300</v>
      </c>
      <c r="H93" s="72">
        <v>210</v>
      </c>
      <c r="I93" s="72">
        <v>225.05</v>
      </c>
      <c r="J93" s="72">
        <v>188</v>
      </c>
      <c r="K93" s="72" t="s">
        <v>47</v>
      </c>
      <c r="L93" s="72">
        <v>199.7</v>
      </c>
      <c r="M93" s="75">
        <v>200.95</v>
      </c>
      <c r="N93" s="72">
        <v>1.25</v>
      </c>
      <c r="O93" s="72">
        <v>0.63</v>
      </c>
      <c r="P93" s="76">
        <v>24742</v>
      </c>
      <c r="Q93" s="74">
        <v>3200.22</v>
      </c>
      <c r="R93" s="77"/>
    </row>
    <row r="94" spans="3:19" ht="42" thickBot="1">
      <c r="C94" s="72"/>
      <c r="D94" s="72" t="s">
        <v>0</v>
      </c>
      <c r="E94" s="73">
        <v>46231</v>
      </c>
      <c r="F94" s="72" t="s">
        <v>1</v>
      </c>
      <c r="G94" s="74">
        <v>24350</v>
      </c>
      <c r="H94" s="72">
        <v>122</v>
      </c>
      <c r="I94" s="72">
        <v>134.65</v>
      </c>
      <c r="J94" s="72">
        <v>105.15</v>
      </c>
      <c r="K94" s="72" t="s">
        <v>47</v>
      </c>
      <c r="L94" s="72">
        <v>135.30000000000001</v>
      </c>
      <c r="M94" s="75">
        <v>111.75</v>
      </c>
      <c r="N94" s="72">
        <v>-23.55</v>
      </c>
      <c r="O94" s="72">
        <v>-17.41</v>
      </c>
      <c r="P94" s="76">
        <v>8345</v>
      </c>
      <c r="Q94" s="72">
        <v>643.75</v>
      </c>
      <c r="R94" s="77"/>
    </row>
    <row r="95" spans="3:19" ht="42" thickBot="1">
      <c r="C95" s="72"/>
      <c r="D95" s="72" t="s">
        <v>0</v>
      </c>
      <c r="E95" s="73">
        <v>46231</v>
      </c>
      <c r="F95" s="72" t="s">
        <v>20</v>
      </c>
      <c r="G95" s="74">
        <v>24350</v>
      </c>
      <c r="H95" s="72">
        <v>232</v>
      </c>
      <c r="I95" s="72">
        <v>246.3</v>
      </c>
      <c r="J95" s="72">
        <v>212.4</v>
      </c>
      <c r="K95" s="72" t="s">
        <v>47</v>
      </c>
      <c r="L95" s="72">
        <v>225.2</v>
      </c>
      <c r="M95" s="75">
        <v>228.15</v>
      </c>
      <c r="N95" s="72">
        <v>2.95</v>
      </c>
      <c r="O95" s="72">
        <v>1.31</v>
      </c>
      <c r="P95" s="76">
        <v>2000</v>
      </c>
      <c r="Q95" s="72">
        <v>291.8</v>
      </c>
      <c r="R95" s="77"/>
    </row>
    <row r="96" spans="3:19" ht="42" thickBot="1">
      <c r="C96" s="72"/>
      <c r="D96" s="72" t="s">
        <v>0</v>
      </c>
      <c r="E96" s="73">
        <v>46231</v>
      </c>
      <c r="F96" s="72" t="s">
        <v>1</v>
      </c>
      <c r="G96" s="74">
        <v>24400</v>
      </c>
      <c r="H96" s="72">
        <v>102.5</v>
      </c>
      <c r="I96" s="72">
        <v>113.55</v>
      </c>
      <c r="J96" s="72">
        <v>87.8</v>
      </c>
      <c r="K96" s="72" t="s">
        <v>47</v>
      </c>
      <c r="L96" s="72">
        <v>113.4</v>
      </c>
      <c r="M96" s="75">
        <v>92.55</v>
      </c>
      <c r="N96" s="72">
        <v>-20.85</v>
      </c>
      <c r="O96" s="72">
        <v>-18.39</v>
      </c>
      <c r="P96" s="76">
        <v>19849</v>
      </c>
      <c r="Q96" s="74">
        <v>1273.4100000000001</v>
      </c>
      <c r="R96" s="77"/>
    </row>
    <row r="97" spans="2:19" ht="42" thickBot="1">
      <c r="C97" s="72"/>
      <c r="D97" s="72" t="s">
        <v>0</v>
      </c>
      <c r="E97" s="73">
        <v>46231</v>
      </c>
      <c r="F97" s="72" t="s">
        <v>20</v>
      </c>
      <c r="G97" s="74">
        <v>24400</v>
      </c>
      <c r="H97" s="72">
        <v>268.10000000000002</v>
      </c>
      <c r="I97" s="72">
        <v>284.3</v>
      </c>
      <c r="J97" s="72">
        <v>243.6</v>
      </c>
      <c r="K97" s="72" t="s">
        <v>47</v>
      </c>
      <c r="L97" s="72">
        <v>254.3</v>
      </c>
      <c r="M97" s="75">
        <v>259.89999999999998</v>
      </c>
      <c r="N97" s="72">
        <v>5.6</v>
      </c>
      <c r="O97" s="72">
        <v>2.2000000000000002</v>
      </c>
      <c r="P97" s="76">
        <v>4906</v>
      </c>
      <c r="Q97" s="72">
        <v>815.59</v>
      </c>
      <c r="R97" s="77"/>
    </row>
    <row r="98" spans="2:19" ht="42" thickBot="1">
      <c r="C98" s="72"/>
      <c r="D98" s="72" t="s">
        <v>0</v>
      </c>
      <c r="E98" s="73">
        <v>46231</v>
      </c>
      <c r="F98" s="72" t="s">
        <v>1</v>
      </c>
      <c r="G98" s="74">
        <v>24450</v>
      </c>
      <c r="H98" s="72">
        <v>89.6</v>
      </c>
      <c r="I98" s="72">
        <v>95</v>
      </c>
      <c r="J98" s="72">
        <v>66.5</v>
      </c>
      <c r="K98" s="72" t="s">
        <v>47</v>
      </c>
      <c r="L98" s="72">
        <v>94.65</v>
      </c>
      <c r="M98" s="75">
        <v>75</v>
      </c>
      <c r="N98" s="72">
        <v>-19.649999999999999</v>
      </c>
      <c r="O98" s="72">
        <v>-20.76</v>
      </c>
      <c r="P98" s="76">
        <v>7331</v>
      </c>
      <c r="Q98" s="72">
        <v>387.12</v>
      </c>
      <c r="R98" s="77"/>
    </row>
    <row r="99" spans="2:19" ht="42" thickBot="1">
      <c r="C99" s="72"/>
      <c r="D99" s="72" t="s">
        <v>0</v>
      </c>
      <c r="E99" s="73">
        <v>46231</v>
      </c>
      <c r="F99" s="72" t="s">
        <v>20</v>
      </c>
      <c r="G99" s="74">
        <v>24450</v>
      </c>
      <c r="H99" s="72">
        <v>305.25</v>
      </c>
      <c r="I99" s="72">
        <v>305.25</v>
      </c>
      <c r="J99" s="72">
        <v>275.89999999999998</v>
      </c>
      <c r="K99" s="72" t="s">
        <v>47</v>
      </c>
      <c r="L99" s="72">
        <v>285.95</v>
      </c>
      <c r="M99" s="75">
        <v>292.10000000000002</v>
      </c>
      <c r="N99" s="72">
        <v>6.15</v>
      </c>
      <c r="O99" s="72">
        <v>2.15</v>
      </c>
      <c r="P99" s="72">
        <v>804</v>
      </c>
      <c r="Q99" s="72">
        <v>150.91999999999999</v>
      </c>
      <c r="R99" s="77"/>
    </row>
    <row r="100" spans="2:19" ht="42" thickBot="1">
      <c r="C100" s="72"/>
      <c r="D100" s="72" t="s">
        <v>0</v>
      </c>
      <c r="E100" s="73">
        <v>46231</v>
      </c>
      <c r="F100" s="72" t="s">
        <v>1</v>
      </c>
      <c r="G100" s="74">
        <v>24500</v>
      </c>
      <c r="H100" s="72">
        <v>73.599999999999994</v>
      </c>
      <c r="I100" s="72">
        <v>77.099999999999994</v>
      </c>
      <c r="J100" s="72">
        <v>57.1</v>
      </c>
      <c r="K100" s="72" t="s">
        <v>47</v>
      </c>
      <c r="L100" s="72">
        <v>77.3</v>
      </c>
      <c r="M100" s="75">
        <v>59.5</v>
      </c>
      <c r="N100" s="72">
        <v>-17.8</v>
      </c>
      <c r="O100" s="72">
        <v>-23.03</v>
      </c>
      <c r="P100" s="76">
        <v>55185</v>
      </c>
      <c r="Q100" s="74">
        <v>2323.67</v>
      </c>
      <c r="R100" s="77"/>
    </row>
    <row r="101" spans="2:19" ht="42" thickBot="1">
      <c r="C101" s="72"/>
      <c r="D101" s="72" t="s">
        <v>0</v>
      </c>
      <c r="E101" s="73">
        <v>46231</v>
      </c>
      <c r="F101" s="72" t="s">
        <v>20</v>
      </c>
      <c r="G101" s="74">
        <v>24500</v>
      </c>
      <c r="H101" s="72">
        <v>344.75</v>
      </c>
      <c r="I101" s="72">
        <v>354.85</v>
      </c>
      <c r="J101" s="72">
        <v>307</v>
      </c>
      <c r="K101" s="72" t="s">
        <v>47</v>
      </c>
      <c r="L101" s="72">
        <v>320.2</v>
      </c>
      <c r="M101" s="75">
        <v>326.75</v>
      </c>
      <c r="N101" s="72">
        <v>6.55</v>
      </c>
      <c r="O101" s="72">
        <v>2.0499999999999998</v>
      </c>
      <c r="P101" s="76">
        <v>5688</v>
      </c>
      <c r="Q101" s="74">
        <v>1181.1400000000001</v>
      </c>
      <c r="R101" s="77"/>
    </row>
    <row r="102" spans="2:19" ht="42" thickBot="1">
      <c r="C102" s="72"/>
      <c r="D102" s="72" t="s">
        <v>0</v>
      </c>
      <c r="E102" s="73">
        <v>46231</v>
      </c>
      <c r="F102" s="72" t="s">
        <v>1</v>
      </c>
      <c r="G102" s="74">
        <v>24550</v>
      </c>
      <c r="H102" s="72">
        <v>57.95</v>
      </c>
      <c r="I102" s="72">
        <v>62.85</v>
      </c>
      <c r="J102" s="72">
        <v>46</v>
      </c>
      <c r="K102" s="72" t="s">
        <v>47</v>
      </c>
      <c r="L102" s="72">
        <v>63.1</v>
      </c>
      <c r="M102" s="75">
        <v>47.75</v>
      </c>
      <c r="N102" s="72">
        <v>-15.35</v>
      </c>
      <c r="O102" s="72">
        <v>-24.33</v>
      </c>
      <c r="P102" s="76">
        <v>7332</v>
      </c>
      <c r="Q102" s="72">
        <v>248.01</v>
      </c>
      <c r="R102" s="77"/>
    </row>
    <row r="103" spans="2:19" ht="42" thickBot="1">
      <c r="C103" s="72"/>
      <c r="D103" s="72" t="s">
        <v>0</v>
      </c>
      <c r="E103" s="73">
        <v>46231</v>
      </c>
      <c r="F103" s="72" t="s">
        <v>20</v>
      </c>
      <c r="G103" s="74">
        <v>24550</v>
      </c>
      <c r="H103" s="72">
        <v>377</v>
      </c>
      <c r="I103" s="72">
        <v>377</v>
      </c>
      <c r="J103" s="72">
        <v>345</v>
      </c>
      <c r="K103" s="72" t="s">
        <v>47</v>
      </c>
      <c r="L103" s="72">
        <v>353.35</v>
      </c>
      <c r="M103" s="75">
        <v>363.15</v>
      </c>
      <c r="N103" s="72">
        <v>9.8000000000000007</v>
      </c>
      <c r="O103" s="72">
        <v>2.77</v>
      </c>
      <c r="P103" s="72">
        <v>319</v>
      </c>
      <c r="Q103" s="72">
        <v>73.86</v>
      </c>
      <c r="R103" s="77"/>
    </row>
    <row r="104" spans="2:19" ht="42" thickBot="1">
      <c r="C104" s="72"/>
      <c r="D104" s="72" t="s">
        <v>0</v>
      </c>
      <c r="E104" s="73">
        <v>46231</v>
      </c>
      <c r="F104" s="72" t="s">
        <v>1</v>
      </c>
      <c r="G104" s="74">
        <v>24600</v>
      </c>
      <c r="H104" s="72">
        <v>49.95</v>
      </c>
      <c r="I104" s="72">
        <v>50.05</v>
      </c>
      <c r="J104" s="72">
        <v>36.299999999999997</v>
      </c>
      <c r="K104" s="72" t="s">
        <v>47</v>
      </c>
      <c r="L104" s="72">
        <v>50.65</v>
      </c>
      <c r="M104" s="75">
        <v>37.9</v>
      </c>
      <c r="N104" s="72">
        <v>-12.75</v>
      </c>
      <c r="O104" s="72">
        <v>-25.17</v>
      </c>
      <c r="P104" s="76">
        <v>26367</v>
      </c>
      <c r="Q104" s="72">
        <v>694.97</v>
      </c>
      <c r="R104" s="77"/>
    </row>
    <row r="105" spans="2:19" ht="42" thickBot="1">
      <c r="B105" s="61"/>
      <c r="C105" s="72"/>
      <c r="D105" s="72" t="s">
        <v>0</v>
      </c>
      <c r="E105" s="73">
        <v>46231</v>
      </c>
      <c r="F105" s="72" t="s">
        <v>20</v>
      </c>
      <c r="G105" s="74">
        <v>24600</v>
      </c>
      <c r="H105" s="72">
        <v>426.6</v>
      </c>
      <c r="I105" s="72">
        <v>426.6</v>
      </c>
      <c r="J105" s="72">
        <v>380.8</v>
      </c>
      <c r="K105" s="72" t="s">
        <v>47</v>
      </c>
      <c r="L105" s="72">
        <v>390.35</v>
      </c>
      <c r="M105" s="75">
        <v>405.1</v>
      </c>
      <c r="N105" s="72">
        <v>14.75</v>
      </c>
      <c r="O105" s="72">
        <v>3.78</v>
      </c>
      <c r="P105" s="72">
        <v>820</v>
      </c>
      <c r="Q105" s="72">
        <v>209.95</v>
      </c>
      <c r="R105" s="77"/>
      <c r="S105" s="61"/>
    </row>
    <row r="106" spans="2:19" ht="42" thickBot="1">
      <c r="C106" s="72"/>
      <c r="D106" s="72" t="s">
        <v>0</v>
      </c>
      <c r="E106" s="73">
        <v>46231</v>
      </c>
      <c r="F106" s="72" t="s">
        <v>1</v>
      </c>
      <c r="G106" s="74">
        <v>24650</v>
      </c>
      <c r="H106" s="72">
        <v>33</v>
      </c>
      <c r="I106" s="72">
        <v>40.4</v>
      </c>
      <c r="J106" s="72">
        <v>28.55</v>
      </c>
      <c r="K106" s="72" t="s">
        <v>47</v>
      </c>
      <c r="L106" s="72">
        <v>40.75</v>
      </c>
      <c r="M106" s="75">
        <v>29.8</v>
      </c>
      <c r="N106" s="72">
        <v>-10.95</v>
      </c>
      <c r="O106" s="72">
        <v>-26.87</v>
      </c>
      <c r="P106" s="76">
        <v>6598</v>
      </c>
      <c r="Q106" s="72">
        <v>139.85</v>
      </c>
      <c r="R106" s="77"/>
    </row>
    <row r="107" spans="2:19" ht="42" thickBot="1">
      <c r="C107" s="72"/>
      <c r="D107" s="72" t="s">
        <v>0</v>
      </c>
      <c r="E107" s="73">
        <v>46231</v>
      </c>
      <c r="F107" s="72" t="s">
        <v>20</v>
      </c>
      <c r="G107" s="74">
        <v>24650</v>
      </c>
      <c r="H107" s="72">
        <v>424.05</v>
      </c>
      <c r="I107" s="72">
        <v>450</v>
      </c>
      <c r="J107" s="72">
        <v>424</v>
      </c>
      <c r="K107" s="72" t="s">
        <v>47</v>
      </c>
      <c r="L107" s="72">
        <v>431.1</v>
      </c>
      <c r="M107" s="75">
        <v>428.9</v>
      </c>
      <c r="N107" s="72">
        <v>-2.2000000000000002</v>
      </c>
      <c r="O107" s="72">
        <v>-0.51</v>
      </c>
      <c r="P107" s="72">
        <v>21</v>
      </c>
      <c r="Q107" s="72">
        <v>5.94</v>
      </c>
      <c r="R107" s="77"/>
    </row>
    <row r="108" spans="2:19" ht="42" thickBot="1">
      <c r="C108" s="72"/>
      <c r="D108" s="72" t="s">
        <v>0</v>
      </c>
      <c r="E108" s="73">
        <v>46231</v>
      </c>
      <c r="F108" s="72" t="s">
        <v>1</v>
      </c>
      <c r="G108" s="74">
        <v>24700</v>
      </c>
      <c r="H108" s="72">
        <v>31.8</v>
      </c>
      <c r="I108" s="72">
        <v>31.9</v>
      </c>
      <c r="J108" s="72">
        <v>22.4</v>
      </c>
      <c r="K108" s="72" t="s">
        <v>47</v>
      </c>
      <c r="L108" s="72">
        <v>32.5</v>
      </c>
      <c r="M108" s="75">
        <v>23.3</v>
      </c>
      <c r="N108" s="72">
        <v>-9.1999999999999993</v>
      </c>
      <c r="O108" s="72">
        <v>-28.31</v>
      </c>
      <c r="P108" s="76">
        <v>22361</v>
      </c>
      <c r="Q108" s="72">
        <v>369.47</v>
      </c>
      <c r="R108" s="77"/>
    </row>
    <row r="109" spans="2:19" ht="42" thickBot="1">
      <c r="C109" s="72"/>
      <c r="D109" s="72" t="s">
        <v>0</v>
      </c>
      <c r="E109" s="73">
        <v>46231</v>
      </c>
      <c r="F109" s="72" t="s">
        <v>20</v>
      </c>
      <c r="G109" s="74">
        <v>24700</v>
      </c>
      <c r="H109" s="72">
        <v>510</v>
      </c>
      <c r="I109" s="72">
        <v>510</v>
      </c>
      <c r="J109" s="72">
        <v>466.25</v>
      </c>
      <c r="K109" s="72" t="s">
        <v>47</v>
      </c>
      <c r="L109" s="72">
        <v>473.2</v>
      </c>
      <c r="M109" s="75">
        <v>488.5</v>
      </c>
      <c r="N109" s="72">
        <v>15.3</v>
      </c>
      <c r="O109" s="72">
        <v>3.23</v>
      </c>
      <c r="P109" s="72">
        <v>636</v>
      </c>
      <c r="Q109" s="72">
        <v>197.68</v>
      </c>
      <c r="R109" s="77"/>
    </row>
    <row r="110" spans="2:19" ht="42" thickBot="1">
      <c r="C110" s="72"/>
      <c r="D110" s="72" t="s">
        <v>0</v>
      </c>
      <c r="E110" s="73">
        <v>46231</v>
      </c>
      <c r="F110" s="72" t="s">
        <v>1</v>
      </c>
      <c r="G110" s="74">
        <v>24750</v>
      </c>
      <c r="H110" s="72">
        <v>25.7</v>
      </c>
      <c r="I110" s="72">
        <v>25.7</v>
      </c>
      <c r="J110" s="72">
        <v>17.5</v>
      </c>
      <c r="K110" s="72" t="s">
        <v>47</v>
      </c>
      <c r="L110" s="72">
        <v>25.7</v>
      </c>
      <c r="M110" s="75">
        <v>18.25</v>
      </c>
      <c r="N110" s="72">
        <v>-7.45</v>
      </c>
      <c r="O110" s="72">
        <v>-28.99</v>
      </c>
      <c r="P110" s="76">
        <v>7763</v>
      </c>
      <c r="Q110" s="72">
        <v>100.26</v>
      </c>
      <c r="R110" s="77"/>
    </row>
    <row r="111" spans="2:19" ht="42" thickBot="1">
      <c r="C111" s="72"/>
      <c r="D111" s="72" t="s">
        <v>0</v>
      </c>
      <c r="E111" s="73">
        <v>46231</v>
      </c>
      <c r="F111" s="72" t="s">
        <v>20</v>
      </c>
      <c r="G111" s="74">
        <v>24750</v>
      </c>
      <c r="H111" s="72">
        <v>512.25</v>
      </c>
      <c r="I111" s="72">
        <v>532.04999999999995</v>
      </c>
      <c r="J111" s="72">
        <v>504.45</v>
      </c>
      <c r="K111" s="72" t="s">
        <v>47</v>
      </c>
      <c r="L111" s="72">
        <v>520</v>
      </c>
      <c r="M111" s="75">
        <v>526.29999999999995</v>
      </c>
      <c r="N111" s="72">
        <v>6.3</v>
      </c>
      <c r="O111" s="72">
        <v>1.21</v>
      </c>
      <c r="P111" s="72">
        <v>59</v>
      </c>
      <c r="Q111" s="72">
        <v>19.95</v>
      </c>
      <c r="R111" s="77"/>
    </row>
    <row r="112" spans="2:19" ht="42" thickBot="1">
      <c r="C112" s="72"/>
      <c r="D112" s="72" t="s">
        <v>0</v>
      </c>
      <c r="E112" s="73">
        <v>46231</v>
      </c>
      <c r="F112" s="72" t="s">
        <v>1</v>
      </c>
      <c r="G112" s="74">
        <v>24800</v>
      </c>
      <c r="H112" s="72">
        <v>18.8</v>
      </c>
      <c r="I112" s="72">
        <v>20.55</v>
      </c>
      <c r="J112" s="72">
        <v>12.4</v>
      </c>
      <c r="K112" s="72" t="s">
        <v>47</v>
      </c>
      <c r="L112" s="72">
        <v>20.100000000000001</v>
      </c>
      <c r="M112" s="75">
        <v>14.05</v>
      </c>
      <c r="N112" s="72">
        <v>-6.05</v>
      </c>
      <c r="O112" s="72">
        <v>-30.1</v>
      </c>
      <c r="P112" s="76">
        <v>24714</v>
      </c>
      <c r="Q112" s="72">
        <v>246.1</v>
      </c>
      <c r="R112" s="77"/>
    </row>
    <row r="113" spans="3:18" ht="42" thickBot="1">
      <c r="C113" s="72"/>
      <c r="D113" s="72" t="s">
        <v>0</v>
      </c>
      <c r="E113" s="73">
        <v>46231</v>
      </c>
      <c r="F113" s="72" t="s">
        <v>20</v>
      </c>
      <c r="G113" s="74">
        <v>24800</v>
      </c>
      <c r="H113" s="72">
        <v>571.54999999999995</v>
      </c>
      <c r="I113" s="72">
        <v>586.85</v>
      </c>
      <c r="J113" s="72">
        <v>556.45000000000005</v>
      </c>
      <c r="K113" s="72" t="s">
        <v>47</v>
      </c>
      <c r="L113" s="72">
        <v>558.5</v>
      </c>
      <c r="M113" s="75">
        <v>579.29999999999995</v>
      </c>
      <c r="N113" s="72">
        <v>20.8</v>
      </c>
      <c r="O113" s="72">
        <v>3.72</v>
      </c>
      <c r="P113" s="72">
        <v>461</v>
      </c>
      <c r="Q113" s="72">
        <v>170.23</v>
      </c>
      <c r="R113" s="77"/>
    </row>
    <row r="114" spans="3:18" ht="42" thickBot="1">
      <c r="C114" s="72"/>
      <c r="D114" s="72" t="s">
        <v>0</v>
      </c>
      <c r="E114" s="73">
        <v>46231</v>
      </c>
      <c r="F114" s="72" t="s">
        <v>1</v>
      </c>
      <c r="G114" s="74">
        <v>24850</v>
      </c>
      <c r="H114" s="72">
        <v>16.100000000000001</v>
      </c>
      <c r="I114" s="72">
        <v>16.100000000000001</v>
      </c>
      <c r="J114" s="72">
        <v>10.75</v>
      </c>
      <c r="K114" s="72" t="s">
        <v>47</v>
      </c>
      <c r="L114" s="72">
        <v>15.95</v>
      </c>
      <c r="M114" s="75">
        <v>11.3</v>
      </c>
      <c r="N114" s="72">
        <v>-4.6500000000000004</v>
      </c>
      <c r="O114" s="72">
        <v>-29.15</v>
      </c>
      <c r="P114" s="76">
        <v>5024</v>
      </c>
      <c r="Q114" s="72">
        <v>39.479999999999997</v>
      </c>
      <c r="R114" s="77"/>
    </row>
    <row r="115" spans="3:18" ht="42" thickBot="1">
      <c r="C115" s="72"/>
      <c r="D115" s="72" t="s">
        <v>0</v>
      </c>
      <c r="E115" s="73">
        <v>46231</v>
      </c>
      <c r="F115" s="72" t="s">
        <v>1</v>
      </c>
      <c r="G115" s="74">
        <v>24900</v>
      </c>
      <c r="H115" s="72">
        <v>9.65</v>
      </c>
      <c r="I115" s="72">
        <v>12</v>
      </c>
      <c r="J115" s="72">
        <v>7.65</v>
      </c>
      <c r="K115" s="72" t="s">
        <v>47</v>
      </c>
      <c r="L115" s="72">
        <v>12.75</v>
      </c>
      <c r="M115" s="75">
        <v>9.0500000000000007</v>
      </c>
      <c r="N115" s="72">
        <v>-3.7</v>
      </c>
      <c r="O115" s="72">
        <v>-29.02</v>
      </c>
      <c r="P115" s="76">
        <v>25148</v>
      </c>
      <c r="Q115" s="72">
        <v>155.94</v>
      </c>
      <c r="R115" s="77"/>
    </row>
    <row r="116" spans="3:18" ht="42" thickBot="1">
      <c r="C116" s="72"/>
      <c r="D116" s="72" t="s">
        <v>0</v>
      </c>
      <c r="E116" s="73">
        <v>46231</v>
      </c>
      <c r="F116" s="72" t="s">
        <v>20</v>
      </c>
      <c r="G116" s="74">
        <v>24900</v>
      </c>
      <c r="H116" s="72">
        <v>660.95</v>
      </c>
      <c r="I116" s="72">
        <v>679.75</v>
      </c>
      <c r="J116" s="72">
        <v>650</v>
      </c>
      <c r="K116" s="72" t="s">
        <v>47</v>
      </c>
      <c r="L116" s="72">
        <v>649.70000000000005</v>
      </c>
      <c r="M116" s="75">
        <v>657</v>
      </c>
      <c r="N116" s="72">
        <v>7.3</v>
      </c>
      <c r="O116" s="72">
        <v>1.1200000000000001</v>
      </c>
      <c r="P116" s="72">
        <v>30</v>
      </c>
      <c r="Q116" s="72">
        <v>13.02</v>
      </c>
      <c r="R116" s="77"/>
    </row>
    <row r="117" spans="3:18" ht="42" thickBot="1">
      <c r="C117" s="72"/>
      <c r="D117" s="72" t="s">
        <v>0</v>
      </c>
      <c r="E117" s="73">
        <v>46231</v>
      </c>
      <c r="F117" s="72" t="s">
        <v>1</v>
      </c>
      <c r="G117" s="74">
        <v>24950</v>
      </c>
      <c r="H117" s="72">
        <v>9</v>
      </c>
      <c r="I117" s="72">
        <v>9.9499999999999993</v>
      </c>
      <c r="J117" s="72">
        <v>7.5</v>
      </c>
      <c r="K117" s="72" t="s">
        <v>47</v>
      </c>
      <c r="L117" s="72">
        <v>10.5</v>
      </c>
      <c r="M117" s="75">
        <v>7.75</v>
      </c>
      <c r="N117" s="72">
        <v>-2.75</v>
      </c>
      <c r="O117" s="72">
        <v>-26.19</v>
      </c>
      <c r="P117" s="76">
        <v>4538</v>
      </c>
      <c r="Q117" s="72">
        <v>23.95</v>
      </c>
      <c r="R117" s="77"/>
    </row>
    <row r="118" spans="3:18" ht="42" thickBot="1">
      <c r="C118" s="72"/>
      <c r="D118" s="72" t="s">
        <v>0</v>
      </c>
      <c r="E118" s="73">
        <v>46231</v>
      </c>
      <c r="F118" s="72" t="s">
        <v>1</v>
      </c>
      <c r="G118" s="74">
        <v>25000</v>
      </c>
      <c r="H118" s="72">
        <v>9.8000000000000007</v>
      </c>
      <c r="I118" s="72">
        <v>10</v>
      </c>
      <c r="J118" s="72">
        <v>6.05</v>
      </c>
      <c r="K118" s="72" t="s">
        <v>47</v>
      </c>
      <c r="L118" s="72">
        <v>8.8000000000000007</v>
      </c>
      <c r="M118" s="75">
        <v>6.7</v>
      </c>
      <c r="N118" s="72">
        <v>-2.1</v>
      </c>
      <c r="O118" s="72">
        <v>-23.86</v>
      </c>
      <c r="P118" s="76">
        <v>39751</v>
      </c>
      <c r="Q118" s="72">
        <v>177.25</v>
      </c>
      <c r="R118" s="77"/>
    </row>
    <row r="119" spans="3:18" ht="42" thickBot="1">
      <c r="C119" s="72"/>
      <c r="D119" s="72" t="s">
        <v>0</v>
      </c>
      <c r="E119" s="73">
        <v>46231</v>
      </c>
      <c r="F119" s="72" t="s">
        <v>20</v>
      </c>
      <c r="G119" s="74">
        <v>25000</v>
      </c>
      <c r="H119" s="72">
        <v>788.45</v>
      </c>
      <c r="I119" s="72">
        <v>795.8</v>
      </c>
      <c r="J119" s="72">
        <v>736.75</v>
      </c>
      <c r="K119" s="72" t="s">
        <v>47</v>
      </c>
      <c r="L119" s="72">
        <v>750.3</v>
      </c>
      <c r="M119" s="75">
        <v>764.35</v>
      </c>
      <c r="N119" s="72">
        <v>14.05</v>
      </c>
      <c r="O119" s="72">
        <v>1.87</v>
      </c>
      <c r="P119" s="72">
        <v>543</v>
      </c>
      <c r="Q119" s="72">
        <v>269.47000000000003</v>
      </c>
      <c r="R119" s="77"/>
    </row>
    <row r="120" spans="3:18" ht="42" thickBot="1">
      <c r="C120" s="72"/>
      <c r="D120" s="72" t="s">
        <v>0</v>
      </c>
      <c r="E120" s="73">
        <v>46231</v>
      </c>
      <c r="F120" s="72" t="s">
        <v>1</v>
      </c>
      <c r="G120" s="74">
        <v>25050</v>
      </c>
      <c r="H120" s="72">
        <v>5.9</v>
      </c>
      <c r="I120" s="72">
        <v>6.45</v>
      </c>
      <c r="J120" s="72">
        <v>4.0999999999999996</v>
      </c>
      <c r="K120" s="72" t="s">
        <v>47</v>
      </c>
      <c r="L120" s="72">
        <v>6.9</v>
      </c>
      <c r="M120" s="75">
        <v>5.55</v>
      </c>
      <c r="N120" s="72">
        <v>-1.35</v>
      </c>
      <c r="O120" s="72">
        <v>-19.57</v>
      </c>
      <c r="P120" s="76">
        <v>5093</v>
      </c>
      <c r="Q120" s="72">
        <v>18.11</v>
      </c>
      <c r="R120" s="77"/>
    </row>
    <row r="121" spans="3:18" ht="42" thickBot="1">
      <c r="C121" s="72"/>
      <c r="D121" s="72" t="s">
        <v>0</v>
      </c>
      <c r="E121" s="73">
        <v>46231</v>
      </c>
      <c r="F121" s="72" t="s">
        <v>20</v>
      </c>
      <c r="G121" s="74">
        <v>25050</v>
      </c>
      <c r="H121" s="72">
        <v>799.95</v>
      </c>
      <c r="I121" s="72">
        <v>800</v>
      </c>
      <c r="J121" s="72">
        <v>799.95</v>
      </c>
      <c r="K121" s="72" t="s">
        <v>47</v>
      </c>
      <c r="L121" s="72">
        <v>773.65</v>
      </c>
      <c r="M121" s="75">
        <v>800</v>
      </c>
      <c r="N121" s="72">
        <v>26.35</v>
      </c>
      <c r="O121" s="72">
        <v>3.41</v>
      </c>
      <c r="P121" s="72">
        <v>5</v>
      </c>
      <c r="Q121" s="72">
        <v>2.6</v>
      </c>
      <c r="R121" s="77"/>
    </row>
    <row r="122" spans="3:18" ht="42" thickBot="1">
      <c r="C122" s="72"/>
      <c r="D122" s="72" t="s">
        <v>0</v>
      </c>
      <c r="E122" s="73">
        <v>46231</v>
      </c>
      <c r="F122" s="72" t="s">
        <v>1</v>
      </c>
      <c r="G122" s="74">
        <v>25100</v>
      </c>
      <c r="H122" s="72">
        <v>5.55</v>
      </c>
      <c r="I122" s="72">
        <v>5.65</v>
      </c>
      <c r="J122" s="72">
        <v>4.0999999999999996</v>
      </c>
      <c r="K122" s="72" t="s">
        <v>47</v>
      </c>
      <c r="L122" s="72">
        <v>5.7</v>
      </c>
      <c r="M122" s="75">
        <v>4.8</v>
      </c>
      <c r="N122" s="72">
        <v>-0.9</v>
      </c>
      <c r="O122" s="72">
        <v>-15.79</v>
      </c>
      <c r="P122" s="76">
        <v>20229</v>
      </c>
      <c r="Q122" s="72">
        <v>61.93</v>
      </c>
      <c r="R122" s="77"/>
    </row>
    <row r="123" spans="3:18" ht="42" thickBot="1">
      <c r="C123" s="72"/>
      <c r="D123" s="72" t="s">
        <v>0</v>
      </c>
      <c r="E123" s="73">
        <v>46231</v>
      </c>
      <c r="F123" s="72" t="s">
        <v>20</v>
      </c>
      <c r="G123" s="74">
        <v>25100</v>
      </c>
      <c r="H123" s="72">
        <v>850</v>
      </c>
      <c r="I123" s="72">
        <v>850</v>
      </c>
      <c r="J123" s="72">
        <v>850</v>
      </c>
      <c r="K123" s="72" t="s">
        <v>47</v>
      </c>
      <c r="L123" s="72">
        <v>850</v>
      </c>
      <c r="M123" s="75">
        <v>850</v>
      </c>
      <c r="N123" s="72">
        <v>0</v>
      </c>
      <c r="O123" s="72">
        <v>0</v>
      </c>
      <c r="P123" s="72">
        <v>27</v>
      </c>
      <c r="Q123" s="72">
        <v>14.92</v>
      </c>
      <c r="R123" s="77"/>
    </row>
    <row r="124" spans="3:18" ht="42" thickBot="1">
      <c r="C124" s="72"/>
      <c r="D124" s="72" t="s">
        <v>0</v>
      </c>
      <c r="E124" s="73">
        <v>46231</v>
      </c>
      <c r="F124" s="72" t="s">
        <v>1</v>
      </c>
      <c r="G124" s="74">
        <v>25150</v>
      </c>
      <c r="H124" s="72">
        <v>3.7</v>
      </c>
      <c r="I124" s="72">
        <v>4.4000000000000004</v>
      </c>
      <c r="J124" s="72">
        <v>3.55</v>
      </c>
      <c r="K124" s="72" t="s">
        <v>47</v>
      </c>
      <c r="L124" s="72">
        <v>4.8</v>
      </c>
      <c r="M124" s="75">
        <v>4.25</v>
      </c>
      <c r="N124" s="72">
        <v>-0.55000000000000004</v>
      </c>
      <c r="O124" s="72">
        <v>-11.46</v>
      </c>
      <c r="P124" s="76">
        <v>4001</v>
      </c>
      <c r="Q124" s="72">
        <v>10.58</v>
      </c>
      <c r="R124" s="77"/>
    </row>
    <row r="125" spans="3:18" ht="42" thickBot="1">
      <c r="C125" s="72"/>
      <c r="D125" s="72" t="s">
        <v>0</v>
      </c>
      <c r="E125" s="73">
        <v>46231</v>
      </c>
      <c r="F125" s="72" t="s">
        <v>1</v>
      </c>
      <c r="G125" s="74">
        <v>25200</v>
      </c>
      <c r="H125" s="72">
        <v>3.5</v>
      </c>
      <c r="I125" s="72">
        <v>3.8</v>
      </c>
      <c r="J125" s="72">
        <v>3.05</v>
      </c>
      <c r="K125" s="72" t="s">
        <v>47</v>
      </c>
      <c r="L125" s="72">
        <v>4.05</v>
      </c>
      <c r="M125" s="75">
        <v>3.6</v>
      </c>
      <c r="N125" s="72">
        <v>-0.45</v>
      </c>
      <c r="O125" s="72">
        <v>-11.11</v>
      </c>
      <c r="P125" s="76">
        <v>10125</v>
      </c>
      <c r="Q125" s="72">
        <v>22.44</v>
      </c>
      <c r="R125" s="77"/>
    </row>
    <row r="126" spans="3:18" ht="42" thickBot="1">
      <c r="C126" s="72"/>
      <c r="D126" s="72" t="s">
        <v>0</v>
      </c>
      <c r="E126" s="73">
        <v>46231</v>
      </c>
      <c r="F126" s="72" t="s">
        <v>20</v>
      </c>
      <c r="G126" s="74">
        <v>25200</v>
      </c>
      <c r="H126" s="72">
        <v>963.3</v>
      </c>
      <c r="I126" s="72">
        <v>963.3</v>
      </c>
      <c r="J126" s="72">
        <v>940.25</v>
      </c>
      <c r="K126" s="72" t="s">
        <v>47</v>
      </c>
      <c r="L126" s="72">
        <v>939.85</v>
      </c>
      <c r="M126" s="75">
        <v>952.1</v>
      </c>
      <c r="N126" s="72">
        <v>12.25</v>
      </c>
      <c r="O126" s="72">
        <v>1.3</v>
      </c>
      <c r="P126" s="72">
        <v>17</v>
      </c>
      <c r="Q126" s="72">
        <v>10.56</v>
      </c>
      <c r="R126" s="77"/>
    </row>
    <row r="127" spans="3:18" ht="42" thickBot="1">
      <c r="C127" s="72"/>
      <c r="D127" s="72" t="s">
        <v>0</v>
      </c>
      <c r="E127" s="73">
        <v>46231</v>
      </c>
      <c r="F127" s="72" t="s">
        <v>1</v>
      </c>
      <c r="G127" s="74">
        <v>25250</v>
      </c>
      <c r="H127" s="72">
        <v>2.8</v>
      </c>
      <c r="I127" s="72">
        <v>3.3</v>
      </c>
      <c r="J127" s="72">
        <v>2.6</v>
      </c>
      <c r="K127" s="72" t="s">
        <v>47</v>
      </c>
      <c r="L127" s="72">
        <v>3.4</v>
      </c>
      <c r="M127" s="75">
        <v>3.1</v>
      </c>
      <c r="N127" s="72">
        <v>-0.3</v>
      </c>
      <c r="O127" s="72">
        <v>-8.82</v>
      </c>
      <c r="P127" s="76">
        <v>2641</v>
      </c>
      <c r="Q127" s="72">
        <v>5.12</v>
      </c>
      <c r="R127" s="77"/>
    </row>
    <row r="128" spans="3:18" ht="42" thickBot="1">
      <c r="C128" s="72"/>
      <c r="D128" s="72" t="s">
        <v>0</v>
      </c>
      <c r="E128" s="73">
        <v>46231</v>
      </c>
      <c r="F128" s="72" t="s">
        <v>20</v>
      </c>
      <c r="G128" s="74">
        <v>25250</v>
      </c>
      <c r="H128" s="74">
        <v>1010</v>
      </c>
      <c r="I128" s="74">
        <v>1010</v>
      </c>
      <c r="J128" s="74">
        <v>1010</v>
      </c>
      <c r="K128" s="72" t="s">
        <v>47</v>
      </c>
      <c r="L128" s="74">
        <v>1080</v>
      </c>
      <c r="M128" s="78">
        <v>1010</v>
      </c>
      <c r="N128" s="72">
        <v>-70</v>
      </c>
      <c r="O128" s="72">
        <v>-6.48</v>
      </c>
      <c r="P128" s="72">
        <v>2</v>
      </c>
      <c r="Q128" s="72">
        <v>1.31</v>
      </c>
      <c r="R128" s="77"/>
    </row>
    <row r="129" spans="3:18" ht="42" thickBot="1">
      <c r="C129" s="72"/>
      <c r="D129" s="72" t="s">
        <v>0</v>
      </c>
      <c r="E129" s="73">
        <v>46231</v>
      </c>
      <c r="F129" s="72" t="s">
        <v>1</v>
      </c>
      <c r="G129" s="74">
        <v>25300</v>
      </c>
      <c r="H129" s="72">
        <v>3.1</v>
      </c>
      <c r="I129" s="72">
        <v>3.1</v>
      </c>
      <c r="J129" s="72">
        <v>2.4500000000000002</v>
      </c>
      <c r="K129" s="72" t="s">
        <v>47</v>
      </c>
      <c r="L129" s="72">
        <v>3.1</v>
      </c>
      <c r="M129" s="75">
        <v>2.75</v>
      </c>
      <c r="N129" s="72">
        <v>-0.35</v>
      </c>
      <c r="O129" s="72">
        <v>-11.29</v>
      </c>
      <c r="P129" s="76">
        <v>5446</v>
      </c>
      <c r="Q129" s="72">
        <v>9.6300000000000008</v>
      </c>
      <c r="R129" s="77"/>
    </row>
    <row r="130" spans="3:18" s="61" customFormat="1" ht="42" thickBot="1">
      <c r="C130" s="72"/>
      <c r="D130" s="72" t="s">
        <v>0</v>
      </c>
      <c r="E130" s="73">
        <v>46231</v>
      </c>
      <c r="F130" s="72" t="s">
        <v>20</v>
      </c>
      <c r="G130" s="74">
        <v>25300</v>
      </c>
      <c r="H130" s="74">
        <v>1054.1500000000001</v>
      </c>
      <c r="I130" s="74">
        <v>1057.8499999999999</v>
      </c>
      <c r="J130" s="74">
        <v>1050</v>
      </c>
      <c r="K130" s="72" t="s">
        <v>47</v>
      </c>
      <c r="L130" s="74">
        <v>1040</v>
      </c>
      <c r="M130" s="78">
        <v>1050</v>
      </c>
      <c r="N130" s="72">
        <v>10</v>
      </c>
      <c r="O130" s="72">
        <v>0.96</v>
      </c>
      <c r="P130" s="72">
        <v>12</v>
      </c>
      <c r="Q130" s="72">
        <v>8.2200000000000006</v>
      </c>
      <c r="R130" s="77"/>
    </row>
    <row r="131" spans="3:18" ht="42" thickBot="1">
      <c r="C131" s="72"/>
      <c r="D131" s="72" t="s">
        <v>0</v>
      </c>
      <c r="E131" s="73">
        <v>46231</v>
      </c>
      <c r="F131" s="72" t="s">
        <v>1</v>
      </c>
      <c r="G131" s="74">
        <v>25350</v>
      </c>
      <c r="H131" s="72">
        <v>3.1</v>
      </c>
      <c r="I131" s="72">
        <v>3.1</v>
      </c>
      <c r="J131" s="72">
        <v>2.1</v>
      </c>
      <c r="K131" s="72" t="s">
        <v>47</v>
      </c>
      <c r="L131" s="72">
        <v>2.7</v>
      </c>
      <c r="M131" s="75">
        <v>2.4500000000000002</v>
      </c>
      <c r="N131" s="72">
        <v>-0.25</v>
      </c>
      <c r="O131" s="72">
        <v>-9.26</v>
      </c>
      <c r="P131" s="72">
        <v>454</v>
      </c>
      <c r="Q131" s="72">
        <v>0.68</v>
      </c>
      <c r="R131" s="77"/>
    </row>
    <row r="132" spans="3:18" ht="42" thickBot="1">
      <c r="C132" s="72"/>
      <c r="D132" s="72" t="s">
        <v>0</v>
      </c>
      <c r="E132" s="73">
        <v>46231</v>
      </c>
      <c r="F132" s="72" t="s">
        <v>1</v>
      </c>
      <c r="G132" s="74">
        <v>25400</v>
      </c>
      <c r="H132" s="72">
        <v>2.1</v>
      </c>
      <c r="I132" s="72">
        <v>2.15</v>
      </c>
      <c r="J132" s="72">
        <v>1.7</v>
      </c>
      <c r="K132" s="72" t="s">
        <v>47</v>
      </c>
      <c r="L132" s="72">
        <v>2.2000000000000002</v>
      </c>
      <c r="M132" s="75">
        <v>2.0499999999999998</v>
      </c>
      <c r="N132" s="72">
        <v>-0.15</v>
      </c>
      <c r="O132" s="72">
        <v>-6.82</v>
      </c>
      <c r="P132" s="76">
        <v>5970</v>
      </c>
      <c r="Q132" s="72">
        <v>7.64</v>
      </c>
      <c r="R132" s="77"/>
    </row>
    <row r="133" spans="3:18" ht="42" thickBot="1">
      <c r="C133" s="72"/>
      <c r="D133" s="72" t="s">
        <v>0</v>
      </c>
      <c r="E133" s="73">
        <v>46231</v>
      </c>
      <c r="F133" s="72" t="s">
        <v>1</v>
      </c>
      <c r="G133" s="74">
        <v>25450</v>
      </c>
      <c r="H133" s="72">
        <v>1.55</v>
      </c>
      <c r="I133" s="72">
        <v>2</v>
      </c>
      <c r="J133" s="72">
        <v>1.55</v>
      </c>
      <c r="K133" s="72" t="s">
        <v>47</v>
      </c>
      <c r="L133" s="72">
        <v>2</v>
      </c>
      <c r="M133" s="75">
        <v>1.85</v>
      </c>
      <c r="N133" s="72">
        <v>-0.15</v>
      </c>
      <c r="O133" s="72">
        <v>-7.5</v>
      </c>
      <c r="P133" s="76">
        <v>1496</v>
      </c>
      <c r="Q133" s="72">
        <v>1.73</v>
      </c>
      <c r="R133" s="77"/>
    </row>
    <row r="134" spans="3:18" ht="42" thickBot="1">
      <c r="C134" s="72"/>
      <c r="D134" s="72" t="s">
        <v>0</v>
      </c>
      <c r="E134" s="73">
        <v>46231</v>
      </c>
      <c r="F134" s="72" t="s">
        <v>1</v>
      </c>
      <c r="G134" s="74">
        <v>25500</v>
      </c>
      <c r="H134" s="72">
        <v>1.55</v>
      </c>
      <c r="I134" s="72">
        <v>1.85</v>
      </c>
      <c r="J134" s="72">
        <v>1.5</v>
      </c>
      <c r="K134" s="72" t="s">
        <v>47</v>
      </c>
      <c r="L134" s="72">
        <v>1.85</v>
      </c>
      <c r="M134" s="75">
        <v>1.75</v>
      </c>
      <c r="N134" s="72">
        <v>-0.1</v>
      </c>
      <c r="O134" s="72">
        <v>-5.41</v>
      </c>
      <c r="P134" s="76">
        <v>11916</v>
      </c>
      <c r="Q134" s="72">
        <v>12.63</v>
      </c>
      <c r="R134" s="77"/>
    </row>
    <row r="135" spans="3:18" ht="42" thickBot="1">
      <c r="C135" s="72"/>
      <c r="D135" s="72" t="s">
        <v>0</v>
      </c>
      <c r="E135" s="73">
        <v>46231</v>
      </c>
      <c r="F135" s="72" t="s">
        <v>20</v>
      </c>
      <c r="G135" s="74">
        <v>25500</v>
      </c>
      <c r="H135" s="74">
        <v>1261.3499999999999</v>
      </c>
      <c r="I135" s="74">
        <v>1278.2</v>
      </c>
      <c r="J135" s="74">
        <v>1240.8499999999999</v>
      </c>
      <c r="K135" s="72" t="s">
        <v>47</v>
      </c>
      <c r="L135" s="74">
        <v>1241.8499999999999</v>
      </c>
      <c r="M135" s="78">
        <v>1257.45</v>
      </c>
      <c r="N135" s="72">
        <v>15.6</v>
      </c>
      <c r="O135" s="72">
        <v>1.26</v>
      </c>
      <c r="P135" s="72">
        <v>163</v>
      </c>
      <c r="Q135" s="72">
        <v>132.87</v>
      </c>
      <c r="R135" s="77"/>
    </row>
    <row r="136" spans="3:18" s="61" customFormat="1" ht="42" thickBot="1">
      <c r="C136" s="72"/>
      <c r="D136" s="72" t="s">
        <v>0</v>
      </c>
      <c r="E136" s="73">
        <v>46231</v>
      </c>
      <c r="F136" s="72" t="s">
        <v>1</v>
      </c>
      <c r="G136" s="74">
        <v>25550</v>
      </c>
      <c r="H136" s="72">
        <v>1.35</v>
      </c>
      <c r="I136" s="72">
        <v>1.45</v>
      </c>
      <c r="J136" s="72">
        <v>1.1499999999999999</v>
      </c>
      <c r="K136" s="72" t="s">
        <v>47</v>
      </c>
      <c r="L136" s="72">
        <v>1.4</v>
      </c>
      <c r="M136" s="75">
        <v>1.35</v>
      </c>
      <c r="N136" s="72">
        <v>-0.05</v>
      </c>
      <c r="O136" s="72">
        <v>-3.57</v>
      </c>
      <c r="P136" s="76">
        <v>1104</v>
      </c>
      <c r="Q136" s="72">
        <v>0.93</v>
      </c>
      <c r="R136" s="77"/>
    </row>
    <row r="137" spans="3:18" ht="42" thickBot="1">
      <c r="C137" s="72"/>
      <c r="D137" s="72" t="s">
        <v>0</v>
      </c>
      <c r="E137" s="73">
        <v>46231</v>
      </c>
      <c r="F137" s="72" t="s">
        <v>1</v>
      </c>
      <c r="G137" s="74">
        <v>25600</v>
      </c>
      <c r="H137" s="72">
        <v>1.25</v>
      </c>
      <c r="I137" s="72">
        <v>1.25</v>
      </c>
      <c r="J137" s="72">
        <v>1.1000000000000001</v>
      </c>
      <c r="K137" s="72" t="s">
        <v>47</v>
      </c>
      <c r="L137" s="72">
        <v>1.25</v>
      </c>
      <c r="M137" s="75">
        <v>1.25</v>
      </c>
      <c r="N137" s="72">
        <v>0</v>
      </c>
      <c r="O137" s="72">
        <v>0</v>
      </c>
      <c r="P137" s="76">
        <v>4807</v>
      </c>
      <c r="Q137" s="72">
        <v>3.69</v>
      </c>
      <c r="R137" s="77"/>
    </row>
    <row r="138" spans="3:18" ht="42" thickBot="1">
      <c r="C138" s="72"/>
      <c r="D138" s="72" t="s">
        <v>0</v>
      </c>
      <c r="E138" s="73">
        <v>46189</v>
      </c>
      <c r="F138" s="72" t="s">
        <v>1</v>
      </c>
      <c r="G138" s="74">
        <v>25600</v>
      </c>
      <c r="H138" s="72">
        <v>0.4</v>
      </c>
      <c r="I138" s="72">
        <v>0.8</v>
      </c>
      <c r="J138" s="72">
        <v>0.4</v>
      </c>
      <c r="K138" s="72">
        <v>0.7</v>
      </c>
      <c r="L138" s="72">
        <v>0.5</v>
      </c>
      <c r="M138" s="75">
        <v>0.6</v>
      </c>
      <c r="N138" s="72">
        <v>0.1</v>
      </c>
      <c r="O138" s="72">
        <v>20</v>
      </c>
      <c r="P138" s="76">
        <v>18455</v>
      </c>
      <c r="Q138" s="72">
        <v>7.68</v>
      </c>
      <c r="R138" s="77"/>
    </row>
    <row r="139" spans="3:18" ht="42" thickBot="1">
      <c r="C139" s="72"/>
      <c r="D139" s="72" t="s">
        <v>0</v>
      </c>
      <c r="E139" s="73">
        <v>46189</v>
      </c>
      <c r="F139" s="72" t="s">
        <v>20</v>
      </c>
      <c r="G139" s="74">
        <v>25600</v>
      </c>
      <c r="H139" s="74">
        <v>2230</v>
      </c>
      <c r="I139" s="74">
        <v>2230</v>
      </c>
      <c r="J139" s="74">
        <v>1940</v>
      </c>
      <c r="K139" s="74">
        <v>1962</v>
      </c>
      <c r="L139" s="74">
        <v>2300</v>
      </c>
      <c r="M139" s="78">
        <v>1940</v>
      </c>
      <c r="N139" s="72">
        <v>-360</v>
      </c>
      <c r="O139" s="72">
        <v>-15.65</v>
      </c>
      <c r="P139" s="72">
        <v>19</v>
      </c>
      <c r="Q139" s="72">
        <v>25.94</v>
      </c>
      <c r="R139" s="77"/>
    </row>
    <row r="140" spans="3:18" ht="42" thickBot="1">
      <c r="C140" s="72"/>
      <c r="D140" s="72" t="s">
        <v>0</v>
      </c>
      <c r="E140" s="73">
        <v>46231</v>
      </c>
      <c r="F140" s="72" t="s">
        <v>1</v>
      </c>
      <c r="G140" s="74">
        <v>25650</v>
      </c>
      <c r="H140" s="72">
        <v>1.1000000000000001</v>
      </c>
      <c r="I140" s="72">
        <v>1.1000000000000001</v>
      </c>
      <c r="J140" s="72">
        <v>0.95</v>
      </c>
      <c r="K140" s="72" t="s">
        <v>47</v>
      </c>
      <c r="L140" s="72">
        <v>1.05</v>
      </c>
      <c r="M140" s="75">
        <v>1.1000000000000001</v>
      </c>
      <c r="N140" s="72">
        <v>0.05</v>
      </c>
      <c r="O140" s="72">
        <v>4.76</v>
      </c>
      <c r="P140" s="76">
        <v>5531</v>
      </c>
      <c r="Q140" s="72">
        <v>3.81</v>
      </c>
      <c r="R140" s="77"/>
    </row>
    <row r="141" spans="3:18" ht="42" thickBot="1">
      <c r="C141" s="72"/>
      <c r="D141" s="72" t="s">
        <v>0</v>
      </c>
      <c r="E141" s="73">
        <v>46189</v>
      </c>
      <c r="F141" s="72" t="s">
        <v>1</v>
      </c>
      <c r="G141" s="74">
        <v>25650</v>
      </c>
      <c r="H141" s="72">
        <v>0.4</v>
      </c>
      <c r="I141" s="72">
        <v>0.8</v>
      </c>
      <c r="J141" s="72">
        <v>0.4</v>
      </c>
      <c r="K141" s="72">
        <v>0.7</v>
      </c>
      <c r="L141" s="72">
        <v>0.5</v>
      </c>
      <c r="M141" s="75">
        <v>0.65</v>
      </c>
      <c r="N141" s="72">
        <v>0.15</v>
      </c>
      <c r="O141" s="72">
        <v>30</v>
      </c>
      <c r="P141" s="76">
        <v>2576</v>
      </c>
      <c r="Q141" s="72">
        <v>0.95</v>
      </c>
      <c r="R141" s="77"/>
    </row>
    <row r="142" spans="3:18" ht="42" thickBot="1">
      <c r="C142" s="72"/>
      <c r="D142" s="72" t="s">
        <v>0</v>
      </c>
      <c r="E142" s="73">
        <v>46231</v>
      </c>
      <c r="F142" s="72" t="s">
        <v>1</v>
      </c>
      <c r="G142" s="74">
        <v>25700</v>
      </c>
      <c r="H142" s="72">
        <v>1.1000000000000001</v>
      </c>
      <c r="I142" s="72">
        <v>1.1499999999999999</v>
      </c>
      <c r="J142" s="72">
        <v>1</v>
      </c>
      <c r="K142" s="72" t="s">
        <v>47</v>
      </c>
      <c r="L142" s="72">
        <v>1.1000000000000001</v>
      </c>
      <c r="M142" s="75">
        <v>1.1000000000000001</v>
      </c>
      <c r="N142" s="72">
        <v>0</v>
      </c>
      <c r="O142" s="72">
        <v>0</v>
      </c>
      <c r="P142" s="76">
        <v>2134</v>
      </c>
      <c r="Q142" s="72">
        <v>1.46</v>
      </c>
      <c r="R142" s="77"/>
    </row>
    <row r="143" spans="3:18" ht="42" thickBot="1">
      <c r="C143" s="72"/>
      <c r="D143" s="72" t="s">
        <v>0</v>
      </c>
      <c r="E143" s="73">
        <v>46189</v>
      </c>
      <c r="F143" s="72" t="s">
        <v>1</v>
      </c>
      <c r="G143" s="74">
        <v>25700</v>
      </c>
      <c r="H143" s="72">
        <v>0.4</v>
      </c>
      <c r="I143" s="72">
        <v>0.75</v>
      </c>
      <c r="J143" s="72">
        <v>0.4</v>
      </c>
      <c r="K143" s="72">
        <v>0.65</v>
      </c>
      <c r="L143" s="72">
        <v>0.45</v>
      </c>
      <c r="M143" s="75">
        <v>0.6</v>
      </c>
      <c r="N143" s="72">
        <v>0.15</v>
      </c>
      <c r="O143" s="72">
        <v>33.33</v>
      </c>
      <c r="P143" s="76">
        <v>14711</v>
      </c>
      <c r="Q143" s="72">
        <v>5.74</v>
      </c>
      <c r="R143" s="77"/>
    </row>
    <row r="144" spans="3:18" ht="42" thickBot="1">
      <c r="C144" s="72"/>
      <c r="D144" s="72" t="s">
        <v>0</v>
      </c>
      <c r="E144" s="73">
        <v>46231</v>
      </c>
      <c r="F144" s="72" t="s">
        <v>1</v>
      </c>
      <c r="G144" s="74">
        <v>25750</v>
      </c>
      <c r="H144" s="72">
        <v>1</v>
      </c>
      <c r="I144" s="72">
        <v>1.05</v>
      </c>
      <c r="J144" s="72">
        <v>0.85</v>
      </c>
      <c r="K144" s="72" t="s">
        <v>47</v>
      </c>
      <c r="L144" s="72">
        <v>1</v>
      </c>
      <c r="M144" s="75">
        <v>0.9</v>
      </c>
      <c r="N144" s="72">
        <v>-0.1</v>
      </c>
      <c r="O144" s="72">
        <v>-10</v>
      </c>
      <c r="P144" s="72">
        <v>754</v>
      </c>
      <c r="Q144" s="72">
        <v>0.45</v>
      </c>
      <c r="R144" s="77"/>
    </row>
    <row r="145" spans="3:18" ht="42" thickBot="1">
      <c r="C145" s="72"/>
      <c r="D145" s="72" t="s">
        <v>0</v>
      </c>
      <c r="E145" s="73">
        <v>46189</v>
      </c>
      <c r="F145" s="72" t="s">
        <v>1</v>
      </c>
      <c r="G145" s="74">
        <v>25750</v>
      </c>
      <c r="H145" s="72">
        <v>0.4</v>
      </c>
      <c r="I145" s="72">
        <v>0.75</v>
      </c>
      <c r="J145" s="72">
        <v>0.4</v>
      </c>
      <c r="K145" s="72">
        <v>0.65</v>
      </c>
      <c r="L145" s="72">
        <v>0.5</v>
      </c>
      <c r="M145" s="75">
        <v>0.55000000000000004</v>
      </c>
      <c r="N145" s="72">
        <v>0.05</v>
      </c>
      <c r="O145" s="72">
        <v>10</v>
      </c>
      <c r="P145" s="76">
        <v>1417</v>
      </c>
      <c r="Q145" s="72">
        <v>0.54</v>
      </c>
      <c r="R145" s="77"/>
    </row>
    <row r="146" spans="3:18" ht="42" thickBot="1">
      <c r="C146" s="72"/>
      <c r="D146" s="72" t="s">
        <v>0</v>
      </c>
      <c r="E146" s="73">
        <v>46231</v>
      </c>
      <c r="F146" s="72" t="s">
        <v>1</v>
      </c>
      <c r="G146" s="74">
        <v>25800</v>
      </c>
      <c r="H146" s="72">
        <v>1</v>
      </c>
      <c r="I146" s="72">
        <v>1</v>
      </c>
      <c r="J146" s="72">
        <v>0.85</v>
      </c>
      <c r="K146" s="72" t="s">
        <v>47</v>
      </c>
      <c r="L146" s="72">
        <v>0.95</v>
      </c>
      <c r="M146" s="75">
        <v>0.9</v>
      </c>
      <c r="N146" s="72">
        <v>-0.05</v>
      </c>
      <c r="O146" s="72">
        <v>-5.26</v>
      </c>
      <c r="P146" s="76">
        <v>1454</v>
      </c>
      <c r="Q146" s="72">
        <v>0.84</v>
      </c>
      <c r="R146" s="77"/>
    </row>
    <row r="147" spans="3:18" ht="42" thickBot="1">
      <c r="C147" s="72"/>
      <c r="D147" s="72" t="s">
        <v>0</v>
      </c>
      <c r="E147" s="73">
        <v>46189</v>
      </c>
      <c r="F147" s="72" t="s">
        <v>1</v>
      </c>
      <c r="G147" s="74">
        <v>25800</v>
      </c>
      <c r="H147" s="72">
        <v>0.4</v>
      </c>
      <c r="I147" s="72">
        <v>0.7</v>
      </c>
      <c r="J147" s="72">
        <v>0.4</v>
      </c>
      <c r="K147" s="72">
        <v>0.6</v>
      </c>
      <c r="L147" s="72">
        <v>0.45</v>
      </c>
      <c r="M147" s="75">
        <v>0.6</v>
      </c>
      <c r="N147" s="72">
        <v>0.15</v>
      </c>
      <c r="O147" s="72">
        <v>33.33</v>
      </c>
      <c r="P147" s="76">
        <v>12505</v>
      </c>
      <c r="Q147" s="72">
        <v>4.63</v>
      </c>
      <c r="R147" s="77"/>
    </row>
    <row r="148" spans="3:18" ht="42" thickBot="1">
      <c r="C148" s="72"/>
      <c r="D148" s="72" t="s">
        <v>0</v>
      </c>
      <c r="E148" s="73">
        <v>46189</v>
      </c>
      <c r="F148" s="72" t="s">
        <v>20</v>
      </c>
      <c r="G148" s="74">
        <v>25800</v>
      </c>
      <c r="H148" s="74">
        <v>2225.4499999999998</v>
      </c>
      <c r="I148" s="74">
        <v>2279</v>
      </c>
      <c r="J148" s="74">
        <v>2225.4</v>
      </c>
      <c r="K148" s="74">
        <v>2278.85</v>
      </c>
      <c r="L148" s="74">
        <v>2650</v>
      </c>
      <c r="M148" s="78">
        <v>2278.85</v>
      </c>
      <c r="N148" s="72">
        <v>-371.15</v>
      </c>
      <c r="O148" s="72">
        <v>-14.01</v>
      </c>
      <c r="P148" s="72">
        <v>16</v>
      </c>
      <c r="Q148" s="72">
        <v>23.55</v>
      </c>
      <c r="R148" s="77"/>
    </row>
    <row r="149" spans="3:18" ht="42" thickBot="1">
      <c r="C149" s="72"/>
      <c r="D149" s="72" t="s">
        <v>0</v>
      </c>
      <c r="E149" s="73">
        <v>46231</v>
      </c>
      <c r="F149" s="72" t="s">
        <v>1</v>
      </c>
      <c r="G149" s="74">
        <v>25850</v>
      </c>
      <c r="H149" s="72">
        <v>0.85</v>
      </c>
      <c r="I149" s="72">
        <v>0.85</v>
      </c>
      <c r="J149" s="72">
        <v>0.8</v>
      </c>
      <c r="K149" s="72" t="s">
        <v>47</v>
      </c>
      <c r="L149" s="72">
        <v>0.9</v>
      </c>
      <c r="M149" s="75">
        <v>0.85</v>
      </c>
      <c r="N149" s="72">
        <v>-0.05</v>
      </c>
      <c r="O149" s="72">
        <v>-5.56</v>
      </c>
      <c r="P149" s="72">
        <v>191</v>
      </c>
      <c r="Q149" s="72">
        <v>0.1</v>
      </c>
      <c r="R149" s="77"/>
    </row>
    <row r="150" spans="3:18" ht="42" thickBot="1">
      <c r="C150" s="72"/>
      <c r="D150" s="72" t="s">
        <v>0</v>
      </c>
      <c r="E150" s="73">
        <v>46189</v>
      </c>
      <c r="F150" s="72" t="s">
        <v>1</v>
      </c>
      <c r="G150" s="74">
        <v>25850</v>
      </c>
      <c r="H150" s="72">
        <v>0.4</v>
      </c>
      <c r="I150" s="72">
        <v>0.7</v>
      </c>
      <c r="J150" s="72">
        <v>0.4</v>
      </c>
      <c r="K150" s="72">
        <v>0.6</v>
      </c>
      <c r="L150" s="72">
        <v>0.5</v>
      </c>
      <c r="M150" s="75">
        <v>0.55000000000000004</v>
      </c>
      <c r="N150" s="72">
        <v>0.05</v>
      </c>
      <c r="O150" s="72">
        <v>10</v>
      </c>
      <c r="P150" s="76">
        <v>1382</v>
      </c>
      <c r="Q150" s="72">
        <v>0.51</v>
      </c>
      <c r="R150" s="77"/>
    </row>
    <row r="151" spans="3:18" ht="42" thickBot="1">
      <c r="C151" s="72"/>
      <c r="D151" s="72" t="s">
        <v>0</v>
      </c>
      <c r="E151" s="73">
        <v>46189</v>
      </c>
      <c r="F151" s="72" t="s">
        <v>20</v>
      </c>
      <c r="G151" s="74">
        <v>25850</v>
      </c>
      <c r="H151" s="74">
        <v>2272.1</v>
      </c>
      <c r="I151" s="74">
        <v>2375.75</v>
      </c>
      <c r="J151" s="74">
        <v>2272.1</v>
      </c>
      <c r="K151" s="74">
        <v>2357.4499999999998</v>
      </c>
      <c r="L151" s="74">
        <v>2620</v>
      </c>
      <c r="M151" s="78">
        <v>2357.4499999999998</v>
      </c>
      <c r="N151" s="72">
        <v>-262.55</v>
      </c>
      <c r="O151" s="72">
        <v>-10.02</v>
      </c>
      <c r="P151" s="72">
        <v>8</v>
      </c>
      <c r="Q151" s="72">
        <v>12.11</v>
      </c>
      <c r="R151" s="77"/>
    </row>
    <row r="152" spans="3:18" ht="42" thickBot="1">
      <c r="C152" s="72"/>
      <c r="D152" s="72" t="s">
        <v>0</v>
      </c>
      <c r="E152" s="73">
        <v>46231</v>
      </c>
      <c r="F152" s="72" t="s">
        <v>1</v>
      </c>
      <c r="G152" s="74">
        <v>25900</v>
      </c>
      <c r="H152" s="72">
        <v>0.9</v>
      </c>
      <c r="I152" s="72">
        <v>0.9</v>
      </c>
      <c r="J152" s="72">
        <v>0.8</v>
      </c>
      <c r="K152" s="72" t="s">
        <v>47</v>
      </c>
      <c r="L152" s="72">
        <v>0.9</v>
      </c>
      <c r="M152" s="75">
        <v>0.85</v>
      </c>
      <c r="N152" s="72">
        <v>-0.05</v>
      </c>
      <c r="O152" s="72">
        <v>-5.56</v>
      </c>
      <c r="P152" s="72">
        <v>319</v>
      </c>
      <c r="Q152" s="72">
        <v>0.18</v>
      </c>
      <c r="R152" s="77"/>
    </row>
    <row r="153" spans="3:18" ht="42" thickBot="1">
      <c r="C153" s="72"/>
      <c r="D153" s="72" t="s">
        <v>0</v>
      </c>
      <c r="E153" s="73">
        <v>46189</v>
      </c>
      <c r="F153" s="72" t="s">
        <v>1</v>
      </c>
      <c r="G153" s="74">
        <v>25900</v>
      </c>
      <c r="H153" s="72">
        <v>0.35</v>
      </c>
      <c r="I153" s="72">
        <v>0.7</v>
      </c>
      <c r="J153" s="72">
        <v>0.35</v>
      </c>
      <c r="K153" s="72">
        <v>0.6</v>
      </c>
      <c r="L153" s="72">
        <v>0.45</v>
      </c>
      <c r="M153" s="75">
        <v>0.6</v>
      </c>
      <c r="N153" s="72">
        <v>0.15</v>
      </c>
      <c r="O153" s="72">
        <v>33.33</v>
      </c>
      <c r="P153" s="76">
        <v>17265</v>
      </c>
      <c r="Q153" s="72">
        <v>5.95</v>
      </c>
      <c r="R153" s="77"/>
    </row>
    <row r="154" spans="3:18" ht="41.4">
      <c r="C154" s="62" t="s">
        <v>35</v>
      </c>
      <c r="D154" s="79" t="s">
        <v>0</v>
      </c>
      <c r="E154" s="133">
        <v>46231</v>
      </c>
      <c r="F154" s="79" t="s">
        <v>1</v>
      </c>
      <c r="G154" s="134">
        <v>25950</v>
      </c>
      <c r="H154" s="79">
        <v>0.85</v>
      </c>
      <c r="I154" s="79">
        <v>0.85</v>
      </c>
      <c r="J154" s="79">
        <v>0.8</v>
      </c>
      <c r="K154" s="79" t="s">
        <v>47</v>
      </c>
      <c r="L154" s="79">
        <v>0.85</v>
      </c>
      <c r="M154" s="138">
        <v>0.8</v>
      </c>
      <c r="N154" s="79">
        <v>-0.05</v>
      </c>
      <c r="O154" s="79">
        <v>-5.88</v>
      </c>
      <c r="P154" s="79">
        <v>78</v>
      </c>
      <c r="Q154" s="79">
        <v>0.04</v>
      </c>
      <c r="R154" s="57"/>
    </row>
    <row r="155" spans="3:18" ht="42" thickBot="1">
      <c r="C155" s="72"/>
      <c r="D155" s="72" t="s">
        <v>0</v>
      </c>
      <c r="E155" s="73">
        <v>46189</v>
      </c>
      <c r="F155" s="72" t="s">
        <v>1</v>
      </c>
      <c r="G155" s="74">
        <v>25950</v>
      </c>
      <c r="H155" s="72">
        <v>0.35</v>
      </c>
      <c r="I155" s="72">
        <v>0.7</v>
      </c>
      <c r="J155" s="72">
        <v>0.35</v>
      </c>
      <c r="K155" s="72">
        <v>0.55000000000000004</v>
      </c>
      <c r="L155" s="72">
        <v>0.45</v>
      </c>
      <c r="M155" s="75">
        <v>0.5</v>
      </c>
      <c r="N155" s="72">
        <v>0.05</v>
      </c>
      <c r="O155" s="72">
        <v>11.11</v>
      </c>
      <c r="P155" s="76">
        <v>2356</v>
      </c>
      <c r="Q155" s="72">
        <v>0.81</v>
      </c>
      <c r="R155" s="77"/>
    </row>
    <row r="156" spans="3:18" ht="42" thickBot="1">
      <c r="C156" s="72"/>
      <c r="D156" s="72" t="s">
        <v>0</v>
      </c>
      <c r="E156" s="73">
        <v>46189</v>
      </c>
      <c r="F156" s="72" t="s">
        <v>20</v>
      </c>
      <c r="G156" s="74">
        <v>25950</v>
      </c>
      <c r="H156" s="74">
        <v>2242.6</v>
      </c>
      <c r="I156" s="74">
        <v>2489.65</v>
      </c>
      <c r="J156" s="74">
        <v>2242.6</v>
      </c>
      <c r="K156" s="74">
        <v>2489.65</v>
      </c>
      <c r="L156" s="74">
        <v>2434.0500000000002</v>
      </c>
      <c r="M156" s="78">
        <v>2489.65</v>
      </c>
      <c r="N156" s="72">
        <v>55.6</v>
      </c>
      <c r="O156" s="72">
        <v>2.2799999999999998</v>
      </c>
      <c r="P156" s="72">
        <v>12</v>
      </c>
      <c r="Q156" s="72">
        <v>18.739999999999998</v>
      </c>
      <c r="R156" s="77"/>
    </row>
    <row r="157" spans="3:18" ht="42" thickBot="1">
      <c r="C157" s="72"/>
      <c r="D157" s="72" t="s">
        <v>0</v>
      </c>
      <c r="E157" s="73">
        <v>46231</v>
      </c>
      <c r="F157" s="72" t="s">
        <v>1</v>
      </c>
      <c r="G157" s="74">
        <v>26000</v>
      </c>
      <c r="H157" s="72">
        <v>0.85</v>
      </c>
      <c r="I157" s="72">
        <v>0.9</v>
      </c>
      <c r="J157" s="72">
        <v>0.8</v>
      </c>
      <c r="K157" s="72" t="s">
        <v>47</v>
      </c>
      <c r="L157" s="72">
        <v>0.9</v>
      </c>
      <c r="M157" s="75">
        <v>0.85</v>
      </c>
      <c r="N157" s="72">
        <v>-0.05</v>
      </c>
      <c r="O157" s="72">
        <v>-5.56</v>
      </c>
      <c r="P157" s="76">
        <v>5134</v>
      </c>
      <c r="Q157" s="72">
        <v>2.87</v>
      </c>
      <c r="R157" s="77"/>
    </row>
    <row r="158" spans="3:18" ht="42" thickBot="1">
      <c r="C158" s="72"/>
      <c r="D158" s="72" t="s">
        <v>0</v>
      </c>
      <c r="E158" s="73">
        <v>46231</v>
      </c>
      <c r="F158" s="72" t="s">
        <v>20</v>
      </c>
      <c r="G158" s="74">
        <v>26000</v>
      </c>
      <c r="H158" s="74">
        <v>1774.3</v>
      </c>
      <c r="I158" s="74">
        <v>1775</v>
      </c>
      <c r="J158" s="74">
        <v>1742</v>
      </c>
      <c r="K158" s="72" t="s">
        <v>47</v>
      </c>
      <c r="L158" s="74">
        <v>1741.2</v>
      </c>
      <c r="M158" s="78">
        <v>1755</v>
      </c>
      <c r="N158" s="72">
        <v>13.8</v>
      </c>
      <c r="O158" s="72">
        <v>0.79</v>
      </c>
      <c r="P158" s="72">
        <v>210</v>
      </c>
      <c r="Q158" s="72">
        <v>239.31</v>
      </c>
      <c r="R158" s="77"/>
    </row>
    <row r="159" spans="3:18" ht="42" thickBot="1">
      <c r="C159" s="72"/>
      <c r="D159" s="72" t="s">
        <v>0</v>
      </c>
      <c r="E159" s="73">
        <v>46189</v>
      </c>
      <c r="F159" s="72" t="s">
        <v>1</v>
      </c>
      <c r="G159" s="74">
        <v>26000</v>
      </c>
      <c r="H159" s="72">
        <v>0.4</v>
      </c>
      <c r="I159" s="72">
        <v>0.6</v>
      </c>
      <c r="J159" s="72">
        <v>0.4</v>
      </c>
      <c r="K159" s="72">
        <v>0.55000000000000004</v>
      </c>
      <c r="L159" s="72">
        <v>0.45</v>
      </c>
      <c r="M159" s="75">
        <v>0.5</v>
      </c>
      <c r="N159" s="72">
        <v>0.05</v>
      </c>
      <c r="O159" s="72">
        <v>11.11</v>
      </c>
      <c r="P159" s="76">
        <v>101426</v>
      </c>
      <c r="Q159" s="72">
        <v>32.299999999999997</v>
      </c>
      <c r="R159" s="77"/>
    </row>
    <row r="160" spans="3:18" ht="42" thickBot="1">
      <c r="C160" s="72"/>
      <c r="D160" s="72" t="s">
        <v>0</v>
      </c>
      <c r="E160" s="73">
        <v>46189</v>
      </c>
      <c r="F160" s="72" t="s">
        <v>20</v>
      </c>
      <c r="G160" s="74">
        <v>26000</v>
      </c>
      <c r="H160" s="74">
        <v>2635</v>
      </c>
      <c r="I160" s="74">
        <v>2655</v>
      </c>
      <c r="J160" s="74">
        <v>2320</v>
      </c>
      <c r="K160" s="74">
        <v>2344.1</v>
      </c>
      <c r="L160" s="74">
        <v>2740</v>
      </c>
      <c r="M160" s="78">
        <v>2320</v>
      </c>
      <c r="N160" s="72">
        <v>-420</v>
      </c>
      <c r="O160" s="72">
        <v>-15.33</v>
      </c>
      <c r="P160" s="72">
        <v>28</v>
      </c>
      <c r="Q160" s="72">
        <v>46.49</v>
      </c>
      <c r="R160" s="77"/>
    </row>
    <row r="161" spans="3:18" ht="42" thickBot="1">
      <c r="C161" s="72"/>
      <c r="D161" s="72" t="s">
        <v>0</v>
      </c>
      <c r="E161" s="73">
        <v>46175</v>
      </c>
      <c r="F161" s="72" t="s">
        <v>20</v>
      </c>
      <c r="G161" s="74">
        <v>26000</v>
      </c>
      <c r="H161" s="74">
        <v>1930</v>
      </c>
      <c r="I161" s="74">
        <v>2060.3000000000002</v>
      </c>
      <c r="J161" s="74">
        <v>1886.6</v>
      </c>
      <c r="K161" s="74">
        <v>2045.25</v>
      </c>
      <c r="L161" s="74">
        <v>1905.75</v>
      </c>
      <c r="M161" s="78">
        <v>2036</v>
      </c>
      <c r="N161" s="72">
        <v>130.25</v>
      </c>
      <c r="O161" s="72">
        <v>6.83</v>
      </c>
      <c r="P161" s="72">
        <v>894</v>
      </c>
      <c r="Q161" s="74">
        <v>1162.0999999999999</v>
      </c>
      <c r="R161" s="77"/>
    </row>
    <row r="162" spans="3:18" ht="42" thickBot="1">
      <c r="C162" s="72"/>
      <c r="D162" s="72" t="s">
        <v>0</v>
      </c>
      <c r="E162" s="73">
        <v>46175</v>
      </c>
      <c r="F162" s="72" t="s">
        <v>20</v>
      </c>
      <c r="G162" s="74">
        <v>26000</v>
      </c>
      <c r="H162" s="74">
        <v>2065</v>
      </c>
      <c r="I162" s="74">
        <v>2091.3000000000002</v>
      </c>
      <c r="J162" s="74">
        <v>1986.45</v>
      </c>
      <c r="K162" s="74">
        <v>2009.4</v>
      </c>
      <c r="L162" s="74">
        <v>2045.25</v>
      </c>
      <c r="M162" s="78">
        <v>2016.55</v>
      </c>
      <c r="N162" s="72">
        <v>-28.7</v>
      </c>
      <c r="O162" s="72">
        <v>-1.4</v>
      </c>
      <c r="P162" s="72">
        <v>93</v>
      </c>
      <c r="Q162" s="72">
        <v>123.06</v>
      </c>
      <c r="R162" s="77"/>
    </row>
    <row r="163" spans="3:18" ht="42" thickBot="1">
      <c r="C163" s="72"/>
      <c r="D163" s="72" t="s">
        <v>0</v>
      </c>
      <c r="E163" s="73">
        <v>46168</v>
      </c>
      <c r="F163" s="72" t="s">
        <v>20</v>
      </c>
      <c r="G163" s="74">
        <v>26000</v>
      </c>
      <c r="H163" s="74">
        <v>2274</v>
      </c>
      <c r="I163" s="74">
        <v>2312.35</v>
      </c>
      <c r="J163" s="74">
        <v>2153.5500000000002</v>
      </c>
      <c r="K163" s="74">
        <v>2255.9</v>
      </c>
      <c r="L163" s="74">
        <v>2365.0500000000002</v>
      </c>
      <c r="M163" s="78">
        <v>2220</v>
      </c>
      <c r="N163" s="72">
        <v>-145.05000000000001</v>
      </c>
      <c r="O163" s="72">
        <v>-6.13</v>
      </c>
      <c r="P163" s="76">
        <v>12508</v>
      </c>
      <c r="Q163" s="74">
        <v>17917.09</v>
      </c>
      <c r="R163" s="77"/>
    </row>
    <row r="164" spans="3:18" ht="42" thickBot="1">
      <c r="C164" s="72"/>
      <c r="D164" s="72" t="s">
        <v>0</v>
      </c>
      <c r="E164" s="73">
        <v>46182</v>
      </c>
      <c r="F164" s="72" t="s">
        <v>20</v>
      </c>
      <c r="G164" s="74">
        <v>26000</v>
      </c>
      <c r="H164" s="74">
        <v>2525</v>
      </c>
      <c r="I164" s="74">
        <v>2653.55</v>
      </c>
      <c r="J164" s="74">
        <v>2465.4</v>
      </c>
      <c r="K164" s="74">
        <v>2571.9499999999998</v>
      </c>
      <c r="L164" s="74">
        <v>2511.6999999999998</v>
      </c>
      <c r="M164" s="78">
        <v>2571</v>
      </c>
      <c r="N164" s="72">
        <v>59.3</v>
      </c>
      <c r="O164" s="72">
        <v>2.36</v>
      </c>
      <c r="P164" s="72">
        <v>202</v>
      </c>
      <c r="Q164" s="72">
        <v>335.21</v>
      </c>
      <c r="R164" s="77"/>
    </row>
    <row r="165" spans="3:18" ht="42" thickBot="1">
      <c r="C165" s="72"/>
      <c r="D165" s="72" t="s">
        <v>0</v>
      </c>
      <c r="E165" s="73">
        <v>46189</v>
      </c>
      <c r="F165" s="72" t="s">
        <v>20</v>
      </c>
      <c r="G165" s="74">
        <v>26000</v>
      </c>
      <c r="H165" s="74">
        <v>2722</v>
      </c>
      <c r="I165" s="74">
        <v>2740</v>
      </c>
      <c r="J165" s="74">
        <v>2660</v>
      </c>
      <c r="K165" s="74">
        <v>2740</v>
      </c>
      <c r="L165" s="74">
        <v>2774.65</v>
      </c>
      <c r="M165" s="78">
        <v>2740</v>
      </c>
      <c r="N165" s="72">
        <v>-34.65</v>
      </c>
      <c r="O165" s="72">
        <v>-1.25</v>
      </c>
      <c r="P165" s="72">
        <v>6</v>
      </c>
      <c r="Q165" s="72">
        <v>10.58</v>
      </c>
      <c r="R165" s="77"/>
    </row>
    <row r="166" spans="3:18" ht="42" thickBot="1">
      <c r="C166" s="72"/>
      <c r="D166" s="72" t="s">
        <v>0</v>
      </c>
      <c r="E166" s="73">
        <v>46182</v>
      </c>
      <c r="F166" s="72" t="s">
        <v>20</v>
      </c>
      <c r="G166" s="74">
        <v>26000</v>
      </c>
      <c r="H166" s="74">
        <v>2817</v>
      </c>
      <c r="I166" s="74">
        <v>2890</v>
      </c>
      <c r="J166" s="74">
        <v>2721</v>
      </c>
      <c r="K166" s="74">
        <v>2874.75</v>
      </c>
      <c r="L166" s="74">
        <v>2571.9499999999998</v>
      </c>
      <c r="M166" s="78">
        <v>2890</v>
      </c>
      <c r="N166" s="72">
        <v>318.05</v>
      </c>
      <c r="O166" s="72">
        <v>12.37</v>
      </c>
      <c r="P166" s="72">
        <v>236</v>
      </c>
      <c r="Q166" s="72">
        <v>429.03</v>
      </c>
      <c r="R166" s="77"/>
    </row>
    <row r="167" spans="3:18" ht="42" thickBot="1">
      <c r="C167" s="72"/>
      <c r="D167" s="72" t="s">
        <v>0</v>
      </c>
      <c r="E167" s="73">
        <v>46231</v>
      </c>
      <c r="F167" s="72" t="s">
        <v>1</v>
      </c>
      <c r="G167" s="74">
        <v>26050</v>
      </c>
      <c r="H167" s="72">
        <v>0.75</v>
      </c>
      <c r="I167" s="72">
        <v>0.85</v>
      </c>
      <c r="J167" s="72">
        <v>0.75</v>
      </c>
      <c r="K167" s="72" t="s">
        <v>47</v>
      </c>
      <c r="L167" s="72">
        <v>0.8</v>
      </c>
      <c r="M167" s="75">
        <v>0.8</v>
      </c>
      <c r="N167" s="72">
        <v>0</v>
      </c>
      <c r="O167" s="72">
        <v>0</v>
      </c>
      <c r="P167" s="72">
        <v>29</v>
      </c>
      <c r="Q167" s="72">
        <v>0.02</v>
      </c>
      <c r="R167" s="77"/>
    </row>
    <row r="168" spans="3:18" ht="42" thickBot="1">
      <c r="C168" s="72"/>
      <c r="D168" s="72" t="s">
        <v>0</v>
      </c>
      <c r="E168" s="73">
        <v>46189</v>
      </c>
      <c r="F168" s="72" t="s">
        <v>1</v>
      </c>
      <c r="G168" s="74">
        <v>26050</v>
      </c>
      <c r="H168" s="72">
        <v>0.35</v>
      </c>
      <c r="I168" s="72">
        <v>0.65</v>
      </c>
      <c r="J168" s="72">
        <v>0.35</v>
      </c>
      <c r="K168" s="72">
        <v>0.55000000000000004</v>
      </c>
      <c r="L168" s="72">
        <v>0.45</v>
      </c>
      <c r="M168" s="75">
        <v>0.5</v>
      </c>
      <c r="N168" s="72">
        <v>0.05</v>
      </c>
      <c r="O168" s="72">
        <v>11.11</v>
      </c>
      <c r="P168" s="76">
        <v>5750</v>
      </c>
      <c r="Q168" s="72">
        <v>1.83</v>
      </c>
      <c r="R168" s="77"/>
    </row>
    <row r="169" spans="3:18" ht="42" thickBot="1">
      <c r="C169" s="72"/>
      <c r="D169" s="72" t="s">
        <v>0</v>
      </c>
      <c r="E169" s="73">
        <v>46182</v>
      </c>
      <c r="F169" s="72" t="s">
        <v>1</v>
      </c>
      <c r="G169" s="74">
        <v>26050</v>
      </c>
      <c r="H169" s="72">
        <v>0.5</v>
      </c>
      <c r="I169" s="72">
        <v>0.55000000000000004</v>
      </c>
      <c r="J169" s="72">
        <v>0.35</v>
      </c>
      <c r="K169" s="72">
        <v>0.4</v>
      </c>
      <c r="L169" s="72">
        <v>0.55000000000000004</v>
      </c>
      <c r="M169" s="75">
        <v>0.4</v>
      </c>
      <c r="N169" s="72">
        <v>-0.15</v>
      </c>
      <c r="O169" s="72">
        <v>-27.27</v>
      </c>
      <c r="P169" s="76">
        <v>9887</v>
      </c>
      <c r="Q169" s="72">
        <v>2.89</v>
      </c>
      <c r="R169" s="77"/>
    </row>
    <row r="170" spans="3:18" ht="42" thickBot="1">
      <c r="C170" s="72"/>
      <c r="D170" s="72" t="s">
        <v>0</v>
      </c>
      <c r="E170" s="73">
        <v>46182</v>
      </c>
      <c r="F170" s="72" t="s">
        <v>1</v>
      </c>
      <c r="G170" s="74">
        <v>26050</v>
      </c>
      <c r="H170" s="72">
        <v>0.65</v>
      </c>
      <c r="I170" s="72">
        <v>0.9</v>
      </c>
      <c r="J170" s="72">
        <v>0.5</v>
      </c>
      <c r="K170" s="72">
        <v>0.55000000000000004</v>
      </c>
      <c r="L170" s="72">
        <v>0.65</v>
      </c>
      <c r="M170" s="75">
        <v>0.55000000000000004</v>
      </c>
      <c r="N170" s="72">
        <v>-0.1</v>
      </c>
      <c r="O170" s="72">
        <v>-15.38</v>
      </c>
      <c r="P170" s="76">
        <v>8395</v>
      </c>
      <c r="Q170" s="72">
        <v>3.44</v>
      </c>
      <c r="R170" s="77"/>
    </row>
    <row r="171" spans="3:18" ht="42" thickBot="1">
      <c r="C171" s="72"/>
      <c r="D171" s="72" t="s">
        <v>0</v>
      </c>
      <c r="E171" s="73">
        <v>46189</v>
      </c>
      <c r="F171" s="72" t="s">
        <v>1</v>
      </c>
      <c r="G171" s="74">
        <v>26050</v>
      </c>
      <c r="H171" s="72">
        <v>0.8</v>
      </c>
      <c r="I171" s="72">
        <v>0.85</v>
      </c>
      <c r="J171" s="72">
        <v>0.4</v>
      </c>
      <c r="K171" s="72">
        <v>0.45</v>
      </c>
      <c r="L171" s="72">
        <v>0.7</v>
      </c>
      <c r="M171" s="75">
        <v>0.4</v>
      </c>
      <c r="N171" s="72">
        <v>-0.3</v>
      </c>
      <c r="O171" s="72">
        <v>-42.86</v>
      </c>
      <c r="P171" s="76">
        <v>4167</v>
      </c>
      <c r="Q171" s="72">
        <v>1.52</v>
      </c>
      <c r="R171" s="77"/>
    </row>
    <row r="172" spans="3:18" ht="42" thickBot="1">
      <c r="C172" s="72"/>
      <c r="D172" s="72" t="s">
        <v>0</v>
      </c>
      <c r="E172" s="73">
        <v>46189</v>
      </c>
      <c r="F172" s="72" t="s">
        <v>1</v>
      </c>
      <c r="G172" s="74">
        <v>26050</v>
      </c>
      <c r="H172" s="72">
        <v>0.9</v>
      </c>
      <c r="I172" s="72">
        <v>0.9</v>
      </c>
      <c r="J172" s="72">
        <v>0.65</v>
      </c>
      <c r="K172" s="72">
        <v>0.7</v>
      </c>
      <c r="L172" s="72">
        <v>0.7</v>
      </c>
      <c r="M172" s="75">
        <v>0.65</v>
      </c>
      <c r="N172" s="72">
        <v>-0.05</v>
      </c>
      <c r="O172" s="72">
        <v>-7.14</v>
      </c>
      <c r="P172" s="76">
        <v>3955</v>
      </c>
      <c r="Q172" s="72">
        <v>1.83</v>
      </c>
      <c r="R172" s="77"/>
    </row>
    <row r="173" spans="3:18" ht="42" thickBot="1">
      <c r="C173" s="72"/>
      <c r="D173" s="72" t="s">
        <v>0</v>
      </c>
      <c r="E173" s="73">
        <v>46175</v>
      </c>
      <c r="F173" s="72" t="s">
        <v>1</v>
      </c>
      <c r="G173" s="74">
        <v>26050</v>
      </c>
      <c r="H173" s="72">
        <v>0.9</v>
      </c>
      <c r="I173" s="72">
        <v>1.05</v>
      </c>
      <c r="J173" s="72">
        <v>0.55000000000000004</v>
      </c>
      <c r="K173" s="72">
        <v>0.6</v>
      </c>
      <c r="L173" s="72">
        <v>1.05</v>
      </c>
      <c r="M173" s="75">
        <v>0.6</v>
      </c>
      <c r="N173" s="72">
        <v>-0.45</v>
      </c>
      <c r="O173" s="72">
        <v>-42.86</v>
      </c>
      <c r="P173" s="76">
        <v>8123</v>
      </c>
      <c r="Q173" s="72">
        <v>3.7</v>
      </c>
      <c r="R173" s="77"/>
    </row>
    <row r="174" spans="3:18" ht="42" thickBot="1">
      <c r="C174" s="72"/>
      <c r="D174" s="72" t="s">
        <v>0</v>
      </c>
      <c r="E174" s="73">
        <v>46168</v>
      </c>
      <c r="F174" s="72" t="s">
        <v>1</v>
      </c>
      <c r="G174" s="74">
        <v>26050</v>
      </c>
      <c r="H174" s="72">
        <v>0.95</v>
      </c>
      <c r="I174" s="72">
        <v>1.05</v>
      </c>
      <c r="J174" s="72">
        <v>0.6</v>
      </c>
      <c r="K174" s="72">
        <v>0.7</v>
      </c>
      <c r="L174" s="72">
        <v>0.8</v>
      </c>
      <c r="M174" s="75">
        <v>0.7</v>
      </c>
      <c r="N174" s="72">
        <v>-0.1</v>
      </c>
      <c r="O174" s="72">
        <v>-12.5</v>
      </c>
      <c r="P174" s="76">
        <v>1168</v>
      </c>
      <c r="Q174" s="72">
        <v>0.54</v>
      </c>
      <c r="R174" s="77"/>
    </row>
    <row r="175" spans="3:18" ht="42" thickBot="1">
      <c r="C175" s="72"/>
      <c r="D175" s="72" t="s">
        <v>0</v>
      </c>
      <c r="E175" s="73">
        <v>46189</v>
      </c>
      <c r="F175" s="72" t="s">
        <v>1</v>
      </c>
      <c r="G175" s="74">
        <v>26050</v>
      </c>
      <c r="H175" s="72">
        <v>1.05</v>
      </c>
      <c r="I175" s="72">
        <v>1.05</v>
      </c>
      <c r="J175" s="72">
        <v>0.65</v>
      </c>
      <c r="K175" s="72">
        <v>0.7</v>
      </c>
      <c r="L175" s="72">
        <v>1.05</v>
      </c>
      <c r="M175" s="75">
        <v>0.65</v>
      </c>
      <c r="N175" s="72">
        <v>-0.4</v>
      </c>
      <c r="O175" s="72">
        <v>-38.1</v>
      </c>
      <c r="P175" s="72">
        <v>350</v>
      </c>
      <c r="Q175" s="72">
        <v>0.17</v>
      </c>
      <c r="R175" s="77"/>
    </row>
    <row r="176" spans="3:18" ht="42" thickBot="1">
      <c r="C176" s="72"/>
      <c r="D176" s="72" t="s">
        <v>0</v>
      </c>
      <c r="E176" s="73">
        <v>46175</v>
      </c>
      <c r="F176" s="72" t="s">
        <v>1</v>
      </c>
      <c r="G176" s="74">
        <v>26050</v>
      </c>
      <c r="H176" s="72">
        <v>1.55</v>
      </c>
      <c r="I176" s="72">
        <v>4.5999999999999996</v>
      </c>
      <c r="J176" s="72">
        <v>0.8</v>
      </c>
      <c r="K176" s="72">
        <v>1.05</v>
      </c>
      <c r="L176" s="72">
        <v>1.75</v>
      </c>
      <c r="M176" s="75">
        <v>1.1000000000000001</v>
      </c>
      <c r="N176" s="72">
        <v>-0.65</v>
      </c>
      <c r="O176" s="72">
        <v>-37.14</v>
      </c>
      <c r="P176" s="76">
        <v>2684</v>
      </c>
      <c r="Q176" s="72">
        <v>2.11</v>
      </c>
      <c r="R176" s="77"/>
    </row>
    <row r="177" spans="3:18" ht="42" thickBot="1">
      <c r="C177" s="72"/>
      <c r="D177" s="72" t="s">
        <v>0</v>
      </c>
      <c r="E177" s="73">
        <v>46231</v>
      </c>
      <c r="F177" s="72" t="s">
        <v>1</v>
      </c>
      <c r="G177" s="74">
        <v>26100</v>
      </c>
      <c r="H177" s="72">
        <v>0.85</v>
      </c>
      <c r="I177" s="72">
        <v>0.9</v>
      </c>
      <c r="J177" s="72">
        <v>0.75</v>
      </c>
      <c r="K177" s="72" t="s">
        <v>47</v>
      </c>
      <c r="L177" s="72">
        <v>0.9</v>
      </c>
      <c r="M177" s="75">
        <v>0.85</v>
      </c>
      <c r="N177" s="72">
        <v>-0.05</v>
      </c>
      <c r="O177" s="72">
        <v>-5.56</v>
      </c>
      <c r="P177" s="72">
        <v>189</v>
      </c>
      <c r="Q177" s="72">
        <v>0.1</v>
      </c>
      <c r="R177" s="77"/>
    </row>
    <row r="178" spans="3:18" ht="41.4">
      <c r="C178" s="62" t="s">
        <v>35</v>
      </c>
      <c r="D178" s="79" t="s">
        <v>0</v>
      </c>
      <c r="E178" s="133">
        <v>46189</v>
      </c>
      <c r="F178" s="79" t="s">
        <v>1</v>
      </c>
      <c r="G178" s="134">
        <v>26100</v>
      </c>
      <c r="H178" s="79">
        <v>0.4</v>
      </c>
      <c r="I178" s="79">
        <v>0.55000000000000004</v>
      </c>
      <c r="J178" s="79">
        <v>0.4</v>
      </c>
      <c r="K178" s="79">
        <v>0.5</v>
      </c>
      <c r="L178" s="79">
        <v>0.45</v>
      </c>
      <c r="M178" s="138">
        <v>0.45</v>
      </c>
      <c r="N178" s="79">
        <v>0</v>
      </c>
      <c r="O178" s="79">
        <v>0</v>
      </c>
      <c r="P178" s="136">
        <v>52284</v>
      </c>
      <c r="Q178" s="79">
        <v>15.97</v>
      </c>
      <c r="R178" s="57"/>
    </row>
    <row r="179" spans="3:18" ht="42" thickBot="1">
      <c r="C179" s="72"/>
      <c r="D179" s="72" t="s">
        <v>0</v>
      </c>
      <c r="E179" s="73">
        <v>46182</v>
      </c>
      <c r="F179" s="72" t="s">
        <v>1</v>
      </c>
      <c r="G179" s="74">
        <v>26100</v>
      </c>
      <c r="H179" s="72">
        <v>0.45</v>
      </c>
      <c r="I179" s="72">
        <v>0.55000000000000004</v>
      </c>
      <c r="J179" s="72">
        <v>0.3</v>
      </c>
      <c r="K179" s="72">
        <v>0.45</v>
      </c>
      <c r="L179" s="72">
        <v>0.5</v>
      </c>
      <c r="M179" s="75">
        <v>0.3</v>
      </c>
      <c r="N179" s="72">
        <v>-0.2</v>
      </c>
      <c r="O179" s="72">
        <v>-40</v>
      </c>
      <c r="P179" s="76">
        <v>54759</v>
      </c>
      <c r="Q179" s="72">
        <v>16.73</v>
      </c>
      <c r="R179" s="77"/>
    </row>
    <row r="180" spans="3:18" ht="42" thickBot="1">
      <c r="C180" s="72"/>
      <c r="D180" s="72" t="s">
        <v>0</v>
      </c>
      <c r="E180" s="73">
        <v>46182</v>
      </c>
      <c r="F180" s="72" t="s">
        <v>1</v>
      </c>
      <c r="G180" s="74">
        <v>26100</v>
      </c>
      <c r="H180" s="72">
        <v>0.55000000000000004</v>
      </c>
      <c r="I180" s="72">
        <v>0.85</v>
      </c>
      <c r="J180" s="72">
        <v>0.45</v>
      </c>
      <c r="K180" s="72">
        <v>0.5</v>
      </c>
      <c r="L180" s="72">
        <v>0.6</v>
      </c>
      <c r="M180" s="75">
        <v>0.45</v>
      </c>
      <c r="N180" s="72">
        <v>-0.15</v>
      </c>
      <c r="O180" s="72">
        <v>-25</v>
      </c>
      <c r="P180" s="76">
        <v>105231</v>
      </c>
      <c r="Q180" s="72">
        <v>40.36</v>
      </c>
      <c r="R180" s="77"/>
    </row>
    <row r="181" spans="3:18" ht="42" thickBot="1">
      <c r="C181" s="72"/>
      <c r="D181" s="72" t="s">
        <v>0</v>
      </c>
      <c r="E181" s="73">
        <v>46189</v>
      </c>
      <c r="F181" s="72" t="s">
        <v>1</v>
      </c>
      <c r="G181" s="74">
        <v>26100</v>
      </c>
      <c r="H181" s="72">
        <v>0.75</v>
      </c>
      <c r="I181" s="72">
        <v>0.75</v>
      </c>
      <c r="J181" s="72">
        <v>0.4</v>
      </c>
      <c r="K181" s="72">
        <v>0.45</v>
      </c>
      <c r="L181" s="72">
        <v>0.7</v>
      </c>
      <c r="M181" s="75">
        <v>0.4</v>
      </c>
      <c r="N181" s="72">
        <v>-0.3</v>
      </c>
      <c r="O181" s="72">
        <v>-42.86</v>
      </c>
      <c r="P181" s="76">
        <v>22508</v>
      </c>
      <c r="Q181" s="72">
        <v>7.61</v>
      </c>
      <c r="R181" s="77"/>
    </row>
    <row r="182" spans="3:18" ht="42" thickBot="1">
      <c r="C182" s="72"/>
      <c r="D182" s="72" t="s">
        <v>0</v>
      </c>
      <c r="E182" s="73">
        <v>46189</v>
      </c>
      <c r="F182" s="72" t="s">
        <v>1</v>
      </c>
      <c r="G182" s="74">
        <v>26100</v>
      </c>
      <c r="H182" s="72">
        <v>0.75</v>
      </c>
      <c r="I182" s="72">
        <v>0.9</v>
      </c>
      <c r="J182" s="72">
        <v>0.6</v>
      </c>
      <c r="K182" s="72">
        <v>0.7</v>
      </c>
      <c r="L182" s="72">
        <v>0.7</v>
      </c>
      <c r="M182" s="75">
        <v>0.65</v>
      </c>
      <c r="N182" s="72">
        <v>-0.05</v>
      </c>
      <c r="O182" s="72">
        <v>-7.14</v>
      </c>
      <c r="P182" s="76">
        <v>11037</v>
      </c>
      <c r="Q182" s="72">
        <v>4.88</v>
      </c>
      <c r="R182" s="77"/>
    </row>
    <row r="183" spans="3:18" ht="42" thickBot="1">
      <c r="C183" s="72"/>
      <c r="D183" s="72" t="s">
        <v>0</v>
      </c>
      <c r="E183" s="73">
        <v>46175</v>
      </c>
      <c r="F183" s="72" t="s">
        <v>1</v>
      </c>
      <c r="G183" s="74">
        <v>26100</v>
      </c>
      <c r="H183" s="72">
        <v>0.95</v>
      </c>
      <c r="I183" s="72">
        <v>0.95</v>
      </c>
      <c r="J183" s="72">
        <v>0.6</v>
      </c>
      <c r="K183" s="72">
        <v>0.65</v>
      </c>
      <c r="L183" s="72">
        <v>0.95</v>
      </c>
      <c r="M183" s="75">
        <v>0.6</v>
      </c>
      <c r="N183" s="72">
        <v>-0.35</v>
      </c>
      <c r="O183" s="72">
        <v>-36.840000000000003</v>
      </c>
      <c r="P183" s="76">
        <v>9298</v>
      </c>
      <c r="Q183" s="72">
        <v>4.29</v>
      </c>
      <c r="R183" s="77"/>
    </row>
    <row r="184" spans="3:18" ht="42" thickBot="1">
      <c r="C184" s="72"/>
      <c r="D184" s="72" t="s">
        <v>0</v>
      </c>
      <c r="E184" s="73">
        <v>46175</v>
      </c>
      <c r="F184" s="72" t="s">
        <v>1</v>
      </c>
      <c r="G184" s="74">
        <v>26100</v>
      </c>
      <c r="H184" s="72">
        <v>0.95</v>
      </c>
      <c r="I184" s="72">
        <v>1.35</v>
      </c>
      <c r="J184" s="72">
        <v>0.75</v>
      </c>
      <c r="K184" s="72">
        <v>0.95</v>
      </c>
      <c r="L184" s="72">
        <v>1.4</v>
      </c>
      <c r="M184" s="75">
        <v>0.95</v>
      </c>
      <c r="N184" s="72">
        <v>-0.45</v>
      </c>
      <c r="O184" s="72">
        <v>-32.14</v>
      </c>
      <c r="P184" s="76">
        <v>3991</v>
      </c>
      <c r="Q184" s="72">
        <v>2.39</v>
      </c>
      <c r="R184" s="77"/>
    </row>
    <row r="185" spans="3:18" ht="42" thickBot="1">
      <c r="C185" s="72"/>
      <c r="D185" s="72" t="s">
        <v>0</v>
      </c>
      <c r="E185" s="73">
        <v>46189</v>
      </c>
      <c r="F185" s="72" t="s">
        <v>1</v>
      </c>
      <c r="G185" s="74">
        <v>26100</v>
      </c>
      <c r="H185" s="72">
        <v>1</v>
      </c>
      <c r="I185" s="72">
        <v>1</v>
      </c>
      <c r="J185" s="72">
        <v>0.65</v>
      </c>
      <c r="K185" s="72">
        <v>0.7</v>
      </c>
      <c r="L185" s="72">
        <v>1</v>
      </c>
      <c r="M185" s="75">
        <v>0.65</v>
      </c>
      <c r="N185" s="72">
        <v>-0.35</v>
      </c>
      <c r="O185" s="72">
        <v>-35</v>
      </c>
      <c r="P185" s="76">
        <v>6308</v>
      </c>
      <c r="Q185" s="72">
        <v>2.95</v>
      </c>
      <c r="R185" s="77"/>
    </row>
    <row r="186" spans="3:18" ht="42" thickBot="1">
      <c r="C186" s="72"/>
      <c r="D186" s="72" t="s">
        <v>0</v>
      </c>
      <c r="E186" s="73">
        <v>46168</v>
      </c>
      <c r="F186" s="72" t="s">
        <v>1</v>
      </c>
      <c r="G186" s="74">
        <v>26100</v>
      </c>
      <c r="H186" s="72">
        <v>1.05</v>
      </c>
      <c r="I186" s="72">
        <v>1.25</v>
      </c>
      <c r="J186" s="72">
        <v>0.55000000000000004</v>
      </c>
      <c r="K186" s="72">
        <v>0.65</v>
      </c>
      <c r="L186" s="72">
        <v>0.85</v>
      </c>
      <c r="M186" s="75">
        <v>0.6</v>
      </c>
      <c r="N186" s="72">
        <v>-0.25</v>
      </c>
      <c r="O186" s="72">
        <v>-29.41</v>
      </c>
      <c r="P186" s="76">
        <v>8517</v>
      </c>
      <c r="Q186" s="72">
        <v>3.76</v>
      </c>
      <c r="R186" s="77"/>
    </row>
    <row r="187" spans="3:18" ht="42" thickBot="1">
      <c r="C187" s="72"/>
      <c r="D187" s="72" t="s">
        <v>0</v>
      </c>
      <c r="E187" s="73">
        <v>46168</v>
      </c>
      <c r="F187" s="72" t="s">
        <v>20</v>
      </c>
      <c r="G187" s="74">
        <v>26100</v>
      </c>
      <c r="H187" s="74">
        <v>2365.5</v>
      </c>
      <c r="I187" s="74">
        <v>2365.5</v>
      </c>
      <c r="J187" s="74">
        <v>2260</v>
      </c>
      <c r="K187" s="74">
        <v>2310.6</v>
      </c>
      <c r="L187" s="74">
        <v>2455</v>
      </c>
      <c r="M187" s="78">
        <v>2310.6</v>
      </c>
      <c r="N187" s="72">
        <v>-144.4</v>
      </c>
      <c r="O187" s="72">
        <v>-5.88</v>
      </c>
      <c r="P187" s="72">
        <v>142</v>
      </c>
      <c r="Q187" s="72">
        <v>212.64</v>
      </c>
      <c r="R187" s="77"/>
    </row>
    <row r="188" spans="3:18" ht="42" thickBot="1">
      <c r="C188" s="72"/>
      <c r="D188" s="72" t="s">
        <v>0</v>
      </c>
      <c r="E188" s="73">
        <v>46182</v>
      </c>
      <c r="F188" s="72" t="s">
        <v>20</v>
      </c>
      <c r="G188" s="74">
        <v>26100</v>
      </c>
      <c r="H188" s="74">
        <v>2680</v>
      </c>
      <c r="I188" s="74">
        <v>2680</v>
      </c>
      <c r="J188" s="74">
        <v>2655</v>
      </c>
      <c r="K188" s="74">
        <v>2671.7</v>
      </c>
      <c r="L188" s="74">
        <v>2480</v>
      </c>
      <c r="M188" s="78">
        <v>2655</v>
      </c>
      <c r="N188" s="72">
        <v>175</v>
      </c>
      <c r="O188" s="72">
        <v>7.06</v>
      </c>
      <c r="P188" s="72">
        <v>3</v>
      </c>
      <c r="Q188" s="72">
        <v>5.21</v>
      </c>
      <c r="R188" s="77"/>
    </row>
    <row r="189" spans="3:18" ht="42" thickBot="1">
      <c r="C189" s="72"/>
      <c r="D189" s="72" t="s">
        <v>0</v>
      </c>
      <c r="E189" s="73">
        <v>46189</v>
      </c>
      <c r="F189" s="72" t="s">
        <v>20</v>
      </c>
      <c r="G189" s="74">
        <v>26100</v>
      </c>
      <c r="H189" s="74">
        <v>2765</v>
      </c>
      <c r="I189" s="74">
        <v>2765.2</v>
      </c>
      <c r="J189" s="74">
        <v>2760</v>
      </c>
      <c r="K189" s="74">
        <v>2764.65</v>
      </c>
      <c r="L189" s="74">
        <v>2584.1999999999998</v>
      </c>
      <c r="M189" s="78">
        <v>2765</v>
      </c>
      <c r="N189" s="72">
        <v>180.8</v>
      </c>
      <c r="O189" s="72">
        <v>7</v>
      </c>
      <c r="P189" s="72">
        <v>27</v>
      </c>
      <c r="Q189" s="72">
        <v>48.52</v>
      </c>
      <c r="R189" s="77"/>
    </row>
    <row r="190" spans="3:18" ht="42" thickBot="1">
      <c r="C190" s="72"/>
      <c r="D190" s="72" t="s">
        <v>0</v>
      </c>
      <c r="E190" s="73">
        <v>46231</v>
      </c>
      <c r="F190" s="72" t="s">
        <v>1</v>
      </c>
      <c r="G190" s="74">
        <v>26150</v>
      </c>
      <c r="H190" s="72">
        <v>0.8</v>
      </c>
      <c r="I190" s="72">
        <v>0.9</v>
      </c>
      <c r="J190" s="72">
        <v>0.8</v>
      </c>
      <c r="K190" s="72" t="s">
        <v>47</v>
      </c>
      <c r="L190" s="72">
        <v>0.75</v>
      </c>
      <c r="M190" s="75">
        <v>0.9</v>
      </c>
      <c r="N190" s="72">
        <v>0.15</v>
      </c>
      <c r="O190" s="72">
        <v>20</v>
      </c>
      <c r="P190" s="72">
        <v>283</v>
      </c>
      <c r="Q190" s="72">
        <v>0.15</v>
      </c>
      <c r="R190" s="77"/>
    </row>
    <row r="191" spans="3:18" ht="42" thickBot="1">
      <c r="C191" s="72"/>
      <c r="D191" s="72" t="s">
        <v>0</v>
      </c>
      <c r="E191" s="73">
        <v>46168</v>
      </c>
      <c r="F191" s="72" t="s">
        <v>1</v>
      </c>
      <c r="G191" s="74">
        <v>26150</v>
      </c>
      <c r="H191" s="72">
        <v>0.9</v>
      </c>
      <c r="I191" s="72">
        <v>1.05</v>
      </c>
      <c r="J191" s="72">
        <v>0.55000000000000004</v>
      </c>
      <c r="K191" s="72">
        <v>0.65</v>
      </c>
      <c r="L191" s="72">
        <v>0.8</v>
      </c>
      <c r="M191" s="75">
        <v>0.7</v>
      </c>
      <c r="N191" s="72">
        <v>-0.1</v>
      </c>
      <c r="O191" s="72">
        <v>-12.5</v>
      </c>
      <c r="P191" s="76">
        <v>1902</v>
      </c>
      <c r="Q191" s="72">
        <v>0.89</v>
      </c>
      <c r="R191" s="77"/>
    </row>
    <row r="192" spans="3:18" ht="42" thickBot="1">
      <c r="C192" s="72"/>
      <c r="D192" s="72" t="s">
        <v>0</v>
      </c>
      <c r="E192" s="73">
        <v>46175</v>
      </c>
      <c r="F192" s="72" t="s">
        <v>1</v>
      </c>
      <c r="G192" s="74">
        <v>26150</v>
      </c>
      <c r="H192" s="72">
        <v>1</v>
      </c>
      <c r="I192" s="72">
        <v>1.05</v>
      </c>
      <c r="J192" s="72">
        <v>0.55000000000000004</v>
      </c>
      <c r="K192" s="72">
        <v>0.6</v>
      </c>
      <c r="L192" s="72">
        <v>1.05</v>
      </c>
      <c r="M192" s="75">
        <v>0.6</v>
      </c>
      <c r="N192" s="72">
        <v>-0.45</v>
      </c>
      <c r="O192" s="72">
        <v>-42.86</v>
      </c>
      <c r="P192" s="76">
        <v>2124</v>
      </c>
      <c r="Q192" s="72">
        <v>0.98</v>
      </c>
      <c r="R192" s="77"/>
    </row>
    <row r="193" spans="3:18" ht="42" thickBot="1">
      <c r="C193" s="72"/>
      <c r="D193" s="72" t="s">
        <v>0</v>
      </c>
      <c r="E193" s="73">
        <v>46175</v>
      </c>
      <c r="F193" s="72" t="s">
        <v>1</v>
      </c>
      <c r="G193" s="74">
        <v>26150</v>
      </c>
      <c r="H193" s="72">
        <v>1.1000000000000001</v>
      </c>
      <c r="I193" s="72">
        <v>3.3</v>
      </c>
      <c r="J193" s="72">
        <v>0.85</v>
      </c>
      <c r="K193" s="72">
        <v>1.05</v>
      </c>
      <c r="L193" s="72">
        <v>1.55</v>
      </c>
      <c r="M193" s="75">
        <v>0.85</v>
      </c>
      <c r="N193" s="72">
        <v>-0.7</v>
      </c>
      <c r="O193" s="72">
        <v>-45.16</v>
      </c>
      <c r="P193" s="72">
        <v>392</v>
      </c>
      <c r="Q193" s="72">
        <v>0.28000000000000003</v>
      </c>
      <c r="R193" s="77"/>
    </row>
    <row r="194" spans="3:18" ht="42" thickBot="1">
      <c r="C194" s="72"/>
      <c r="D194" s="72" t="s">
        <v>0</v>
      </c>
      <c r="E194" s="73">
        <v>46231</v>
      </c>
      <c r="F194" s="72" t="s">
        <v>1</v>
      </c>
      <c r="G194" s="74">
        <v>26200</v>
      </c>
      <c r="H194" s="72">
        <v>0.8</v>
      </c>
      <c r="I194" s="72">
        <v>0.8</v>
      </c>
      <c r="J194" s="72">
        <v>0.75</v>
      </c>
      <c r="K194" s="72" t="s">
        <v>47</v>
      </c>
      <c r="L194" s="72">
        <v>0.75</v>
      </c>
      <c r="M194" s="75">
        <v>0.8</v>
      </c>
      <c r="N194" s="72">
        <v>0.05</v>
      </c>
      <c r="O194" s="72">
        <v>6.67</v>
      </c>
      <c r="P194" s="72">
        <v>174</v>
      </c>
      <c r="Q194" s="72">
        <v>0.08</v>
      </c>
      <c r="R194" s="77"/>
    </row>
    <row r="195" spans="3:18" ht="42" thickBot="1">
      <c r="C195" s="72"/>
      <c r="D195" s="72" t="s">
        <v>0</v>
      </c>
      <c r="E195" s="73">
        <v>46175</v>
      </c>
      <c r="F195" s="72" t="s">
        <v>1</v>
      </c>
      <c r="G195" s="74">
        <v>26200</v>
      </c>
      <c r="H195" s="72">
        <v>0.95</v>
      </c>
      <c r="I195" s="72">
        <v>1</v>
      </c>
      <c r="J195" s="72">
        <v>0.5</v>
      </c>
      <c r="K195" s="72">
        <v>0.55000000000000004</v>
      </c>
      <c r="L195" s="72">
        <v>0.9</v>
      </c>
      <c r="M195" s="75">
        <v>0.55000000000000004</v>
      </c>
      <c r="N195" s="72">
        <v>-0.35</v>
      </c>
      <c r="O195" s="72">
        <v>-38.89</v>
      </c>
      <c r="P195" s="76">
        <v>11153</v>
      </c>
      <c r="Q195" s="72">
        <v>4.42</v>
      </c>
      <c r="R195" s="77"/>
    </row>
    <row r="196" spans="3:18" ht="42" thickBot="1">
      <c r="C196" s="72"/>
      <c r="D196" s="72" t="s">
        <v>0</v>
      </c>
      <c r="E196" s="73">
        <v>46168</v>
      </c>
      <c r="F196" s="72" t="s">
        <v>1</v>
      </c>
      <c r="G196" s="74">
        <v>26200</v>
      </c>
      <c r="H196" s="72">
        <v>1.05</v>
      </c>
      <c r="I196" s="72">
        <v>1.25</v>
      </c>
      <c r="J196" s="72">
        <v>0.55000000000000004</v>
      </c>
      <c r="K196" s="72">
        <v>0.65</v>
      </c>
      <c r="L196" s="72">
        <v>0.8</v>
      </c>
      <c r="M196" s="75">
        <v>0.65</v>
      </c>
      <c r="N196" s="72">
        <v>-0.15</v>
      </c>
      <c r="O196" s="72">
        <v>-18.75</v>
      </c>
      <c r="P196" s="76">
        <v>10671</v>
      </c>
      <c r="Q196" s="72">
        <v>4.72</v>
      </c>
      <c r="R196" s="77"/>
    </row>
    <row r="197" spans="3:18" ht="42" thickBot="1">
      <c r="C197" s="72"/>
      <c r="D197" s="72" t="s">
        <v>0</v>
      </c>
      <c r="E197" s="73">
        <v>46175</v>
      </c>
      <c r="F197" s="72" t="s">
        <v>1</v>
      </c>
      <c r="G197" s="74">
        <v>26200</v>
      </c>
      <c r="H197" s="72">
        <v>1.1499999999999999</v>
      </c>
      <c r="I197" s="72">
        <v>1.1499999999999999</v>
      </c>
      <c r="J197" s="72">
        <v>0.7</v>
      </c>
      <c r="K197" s="72">
        <v>0.9</v>
      </c>
      <c r="L197" s="72">
        <v>1.3</v>
      </c>
      <c r="M197" s="75">
        <v>0.85</v>
      </c>
      <c r="N197" s="72">
        <v>-0.45</v>
      </c>
      <c r="O197" s="72">
        <v>-34.619999999999997</v>
      </c>
      <c r="P197" s="76">
        <v>2640</v>
      </c>
      <c r="Q197" s="72">
        <v>1.49</v>
      </c>
      <c r="R197" s="77"/>
    </row>
    <row r="198" spans="3:18" ht="42" thickBot="1">
      <c r="C198" s="72"/>
      <c r="D198" s="72" t="s">
        <v>0</v>
      </c>
      <c r="E198" s="73">
        <v>46168</v>
      </c>
      <c r="F198" s="72" t="s">
        <v>20</v>
      </c>
      <c r="G198" s="74">
        <v>26200</v>
      </c>
      <c r="H198" s="74">
        <v>2445</v>
      </c>
      <c r="I198" s="74">
        <v>2490.9499999999998</v>
      </c>
      <c r="J198" s="74">
        <v>2361</v>
      </c>
      <c r="K198" s="74">
        <v>2452.5500000000002</v>
      </c>
      <c r="L198" s="74">
        <v>2576.6999999999998</v>
      </c>
      <c r="M198" s="78">
        <v>2432</v>
      </c>
      <c r="N198" s="72">
        <v>-144.69999999999999</v>
      </c>
      <c r="O198" s="72">
        <v>-5.62</v>
      </c>
      <c r="P198" s="72">
        <v>998</v>
      </c>
      <c r="Q198" s="74">
        <v>1573.91</v>
      </c>
      <c r="R198" s="77"/>
    </row>
    <row r="199" spans="3:18" ht="42" thickBot="1">
      <c r="C199" s="72"/>
      <c r="D199" s="72" t="s">
        <v>0</v>
      </c>
      <c r="E199" s="73">
        <v>46231</v>
      </c>
      <c r="F199" s="72" t="s">
        <v>1</v>
      </c>
      <c r="G199" s="74">
        <v>26250</v>
      </c>
      <c r="H199" s="72">
        <v>0.8</v>
      </c>
      <c r="I199" s="72">
        <v>0.8</v>
      </c>
      <c r="J199" s="72">
        <v>0.7</v>
      </c>
      <c r="K199" s="72" t="s">
        <v>47</v>
      </c>
      <c r="L199" s="72">
        <v>0.75</v>
      </c>
      <c r="M199" s="75">
        <v>0.8</v>
      </c>
      <c r="N199" s="72">
        <v>0.05</v>
      </c>
      <c r="O199" s="72">
        <v>6.67</v>
      </c>
      <c r="P199" s="72">
        <v>208</v>
      </c>
      <c r="Q199" s="72">
        <v>0.1</v>
      </c>
      <c r="R199" s="77"/>
    </row>
    <row r="200" spans="3:18" ht="42" thickBot="1">
      <c r="C200" s="72"/>
      <c r="D200" s="72" t="s">
        <v>0</v>
      </c>
      <c r="E200" s="73">
        <v>46175</v>
      </c>
      <c r="F200" s="72" t="s">
        <v>1</v>
      </c>
      <c r="G200" s="74">
        <v>26250</v>
      </c>
      <c r="H200" s="72">
        <v>1.05</v>
      </c>
      <c r="I200" s="72">
        <v>1.05</v>
      </c>
      <c r="J200" s="72">
        <v>0.5</v>
      </c>
      <c r="K200" s="72">
        <v>0.55000000000000004</v>
      </c>
      <c r="L200" s="72">
        <v>0.95</v>
      </c>
      <c r="M200" s="75">
        <v>0.55000000000000004</v>
      </c>
      <c r="N200" s="72">
        <v>-0.4</v>
      </c>
      <c r="O200" s="72">
        <v>-42.11</v>
      </c>
      <c r="P200" s="76">
        <v>5786</v>
      </c>
      <c r="Q200" s="72">
        <v>2.37</v>
      </c>
      <c r="R200" s="77"/>
    </row>
    <row r="201" spans="3:18" ht="42" thickBot="1">
      <c r="C201" s="72"/>
      <c r="D201" s="72" t="s">
        <v>0</v>
      </c>
      <c r="E201" s="73">
        <v>46168</v>
      </c>
      <c r="F201" s="72" t="s">
        <v>1</v>
      </c>
      <c r="G201" s="74">
        <v>26250</v>
      </c>
      <c r="H201" s="72">
        <v>1.05</v>
      </c>
      <c r="I201" s="72">
        <v>1.1499999999999999</v>
      </c>
      <c r="J201" s="72">
        <v>0.55000000000000004</v>
      </c>
      <c r="K201" s="72">
        <v>0.6</v>
      </c>
      <c r="L201" s="72">
        <v>0.75</v>
      </c>
      <c r="M201" s="75">
        <v>0.65</v>
      </c>
      <c r="N201" s="72">
        <v>-0.1</v>
      </c>
      <c r="O201" s="72">
        <v>-13.33</v>
      </c>
      <c r="P201" s="72">
        <v>803</v>
      </c>
      <c r="Q201" s="72">
        <v>0.38</v>
      </c>
      <c r="R201" s="77"/>
    </row>
    <row r="202" spans="3:18" ht="42" thickBot="1">
      <c r="C202" s="72"/>
      <c r="D202" s="72" t="s">
        <v>0</v>
      </c>
      <c r="E202" s="73">
        <v>46175</v>
      </c>
      <c r="F202" s="72" t="s">
        <v>1</v>
      </c>
      <c r="G202" s="74">
        <v>26250</v>
      </c>
      <c r="H202" s="72">
        <v>1.9</v>
      </c>
      <c r="I202" s="72">
        <v>2.25</v>
      </c>
      <c r="J202" s="72">
        <v>0.7</v>
      </c>
      <c r="K202" s="72">
        <v>0.95</v>
      </c>
      <c r="L202" s="72">
        <v>1.6</v>
      </c>
      <c r="M202" s="75">
        <v>0.9</v>
      </c>
      <c r="N202" s="72">
        <v>-0.7</v>
      </c>
      <c r="O202" s="72">
        <v>-43.75</v>
      </c>
      <c r="P202" s="76">
        <v>1350</v>
      </c>
      <c r="Q202" s="72">
        <v>0.84</v>
      </c>
      <c r="R202" s="77"/>
    </row>
    <row r="203" spans="3:18" ht="42" thickBot="1">
      <c r="C203" s="72"/>
      <c r="D203" s="72" t="s">
        <v>0</v>
      </c>
      <c r="E203" s="73">
        <v>46175</v>
      </c>
      <c r="F203" s="72" t="s">
        <v>20</v>
      </c>
      <c r="G203" s="74">
        <v>26250</v>
      </c>
      <c r="H203" s="74">
        <v>2220.6999999999998</v>
      </c>
      <c r="I203" s="74">
        <v>2220.6999999999998</v>
      </c>
      <c r="J203" s="74">
        <v>2184.85</v>
      </c>
      <c r="K203" s="74">
        <v>2184.85</v>
      </c>
      <c r="L203" s="74">
        <v>1625.75</v>
      </c>
      <c r="M203" s="78">
        <v>2184.85</v>
      </c>
      <c r="N203" s="72">
        <v>559.1</v>
      </c>
      <c r="O203" s="72">
        <v>34.39</v>
      </c>
      <c r="P203" s="72">
        <v>2</v>
      </c>
      <c r="Q203" s="72">
        <v>2.86</v>
      </c>
      <c r="R203" s="77"/>
    </row>
    <row r="204" spans="3:18" ht="42" thickBot="1">
      <c r="C204" s="72"/>
      <c r="D204" s="72" t="s">
        <v>0</v>
      </c>
      <c r="E204" s="73">
        <v>46231</v>
      </c>
      <c r="F204" s="72" t="s">
        <v>1</v>
      </c>
      <c r="G204" s="74">
        <v>26300</v>
      </c>
      <c r="H204" s="72">
        <v>0.7</v>
      </c>
      <c r="I204" s="72">
        <v>0.75</v>
      </c>
      <c r="J204" s="72">
        <v>0.7</v>
      </c>
      <c r="K204" s="72" t="s">
        <v>47</v>
      </c>
      <c r="L204" s="72">
        <v>0.75</v>
      </c>
      <c r="M204" s="75">
        <v>0.7</v>
      </c>
      <c r="N204" s="72">
        <v>-0.05</v>
      </c>
      <c r="O204" s="72">
        <v>-6.67</v>
      </c>
      <c r="P204" s="72">
        <v>212</v>
      </c>
      <c r="Q204" s="72">
        <v>0.1</v>
      </c>
      <c r="R204" s="77"/>
    </row>
    <row r="205" spans="3:18" ht="42" thickBot="1">
      <c r="C205" s="72"/>
      <c r="D205" s="72" t="s">
        <v>0</v>
      </c>
      <c r="E205" s="73">
        <v>46231</v>
      </c>
      <c r="F205" s="72" t="s">
        <v>20</v>
      </c>
      <c r="G205" s="74">
        <v>26300</v>
      </c>
      <c r="H205" s="74">
        <v>2065.5500000000002</v>
      </c>
      <c r="I205" s="74">
        <v>2076</v>
      </c>
      <c r="J205" s="74">
        <v>2039.1</v>
      </c>
      <c r="K205" s="72" t="s">
        <v>47</v>
      </c>
      <c r="L205" s="74">
        <v>2043.8</v>
      </c>
      <c r="M205" s="78">
        <v>2072.85</v>
      </c>
      <c r="N205" s="72">
        <v>29.05</v>
      </c>
      <c r="O205" s="72">
        <v>1.42</v>
      </c>
      <c r="P205" s="72">
        <v>21</v>
      </c>
      <c r="Q205" s="72">
        <v>28.04</v>
      </c>
      <c r="R205" s="77"/>
    </row>
    <row r="206" spans="3:18" ht="42" thickBot="1">
      <c r="C206" s="72"/>
      <c r="D206" s="72" t="s">
        <v>0</v>
      </c>
      <c r="E206" s="73">
        <v>46175</v>
      </c>
      <c r="F206" s="72" t="s">
        <v>1</v>
      </c>
      <c r="G206" s="74">
        <v>26300</v>
      </c>
      <c r="H206" s="72">
        <v>0.8</v>
      </c>
      <c r="I206" s="72">
        <v>1</v>
      </c>
      <c r="J206" s="72">
        <v>0.5</v>
      </c>
      <c r="K206" s="72">
        <v>0.55000000000000004</v>
      </c>
      <c r="L206" s="72">
        <v>0.8</v>
      </c>
      <c r="M206" s="75">
        <v>0.55000000000000004</v>
      </c>
      <c r="N206" s="72">
        <v>-0.25</v>
      </c>
      <c r="O206" s="72">
        <v>-31.25</v>
      </c>
      <c r="P206" s="76">
        <v>41282</v>
      </c>
      <c r="Q206" s="72">
        <v>15.56</v>
      </c>
      <c r="R206" s="77"/>
    </row>
    <row r="207" spans="3:18" ht="42" thickBot="1">
      <c r="C207" s="72"/>
      <c r="D207" s="72" t="s">
        <v>0</v>
      </c>
      <c r="E207" s="73">
        <v>46168</v>
      </c>
      <c r="F207" s="72" t="s">
        <v>1</v>
      </c>
      <c r="G207" s="74">
        <v>26300</v>
      </c>
      <c r="H207" s="72">
        <v>0.9</v>
      </c>
      <c r="I207" s="72">
        <v>1.2</v>
      </c>
      <c r="J207" s="72">
        <v>0.45</v>
      </c>
      <c r="K207" s="72">
        <v>0.55000000000000004</v>
      </c>
      <c r="L207" s="72">
        <v>0.7</v>
      </c>
      <c r="M207" s="75">
        <v>0.6</v>
      </c>
      <c r="N207" s="72">
        <v>-0.1</v>
      </c>
      <c r="O207" s="72">
        <v>-14.29</v>
      </c>
      <c r="P207" s="76">
        <v>11329</v>
      </c>
      <c r="Q207" s="72">
        <v>4.79</v>
      </c>
      <c r="R207" s="77"/>
    </row>
    <row r="208" spans="3:18" ht="42" thickBot="1">
      <c r="C208" s="72"/>
      <c r="D208" s="72" t="s">
        <v>0</v>
      </c>
      <c r="E208" s="73">
        <v>46175</v>
      </c>
      <c r="F208" s="72" t="s">
        <v>1</v>
      </c>
      <c r="G208" s="74">
        <v>26300</v>
      </c>
      <c r="H208" s="72">
        <v>1.05</v>
      </c>
      <c r="I208" s="72">
        <v>1.05</v>
      </c>
      <c r="J208" s="72">
        <v>0.75</v>
      </c>
      <c r="K208" s="72">
        <v>0.8</v>
      </c>
      <c r="L208" s="72">
        <v>1.1000000000000001</v>
      </c>
      <c r="M208" s="75">
        <v>0.8</v>
      </c>
      <c r="N208" s="72">
        <v>-0.3</v>
      </c>
      <c r="O208" s="72">
        <v>-27.27</v>
      </c>
      <c r="P208" s="76">
        <v>6984</v>
      </c>
      <c r="Q208" s="72">
        <v>3.68</v>
      </c>
      <c r="R208" s="77"/>
    </row>
    <row r="209" spans="3:18" ht="42" thickBot="1">
      <c r="C209" s="72"/>
      <c r="D209" s="72" t="s">
        <v>0</v>
      </c>
      <c r="E209" s="73">
        <v>46175</v>
      </c>
      <c r="F209" s="72" t="s">
        <v>20</v>
      </c>
      <c r="G209" s="74">
        <v>26300</v>
      </c>
      <c r="H209" s="74">
        <v>2255</v>
      </c>
      <c r="I209" s="74">
        <v>2345</v>
      </c>
      <c r="J209" s="74">
        <v>2255</v>
      </c>
      <c r="K209" s="74">
        <v>2345</v>
      </c>
      <c r="L209" s="74">
        <v>1668</v>
      </c>
      <c r="M209" s="78">
        <v>2345</v>
      </c>
      <c r="N209" s="72">
        <v>677</v>
      </c>
      <c r="O209" s="72">
        <v>40.590000000000003</v>
      </c>
      <c r="P209" s="72">
        <v>3</v>
      </c>
      <c r="Q209" s="72">
        <v>4.46</v>
      </c>
      <c r="R209" s="77"/>
    </row>
    <row r="210" spans="3:18" ht="42" thickBot="1">
      <c r="C210" s="72"/>
      <c r="D210" s="72" t="s">
        <v>0</v>
      </c>
      <c r="E210" s="73">
        <v>46168</v>
      </c>
      <c r="F210" s="72" t="s">
        <v>20</v>
      </c>
      <c r="G210" s="74">
        <v>26300</v>
      </c>
      <c r="H210" s="74">
        <v>2776.4</v>
      </c>
      <c r="I210" s="74">
        <v>2776.4</v>
      </c>
      <c r="J210" s="74">
        <v>2468.9499999999998</v>
      </c>
      <c r="K210" s="74">
        <v>2556.0500000000002</v>
      </c>
      <c r="L210" s="74">
        <v>2708.7</v>
      </c>
      <c r="M210" s="78">
        <v>2523.35</v>
      </c>
      <c r="N210" s="72">
        <v>-185.35</v>
      </c>
      <c r="O210" s="72">
        <v>-6.84</v>
      </c>
      <c r="P210" s="72">
        <v>195</v>
      </c>
      <c r="Q210" s="72">
        <v>318.3</v>
      </c>
      <c r="R210" s="77"/>
    </row>
    <row r="211" spans="3:18" ht="42" thickBot="1">
      <c r="C211" s="72"/>
      <c r="D211" s="72" t="s">
        <v>0</v>
      </c>
      <c r="E211" s="73">
        <v>46168</v>
      </c>
      <c r="F211" s="72" t="s">
        <v>1</v>
      </c>
      <c r="G211" s="74">
        <v>26350</v>
      </c>
      <c r="H211" s="72">
        <v>0.75</v>
      </c>
      <c r="I211" s="72">
        <v>0.9</v>
      </c>
      <c r="J211" s="72">
        <v>0.5</v>
      </c>
      <c r="K211" s="72">
        <v>0.6</v>
      </c>
      <c r="L211" s="72">
        <v>0.65</v>
      </c>
      <c r="M211" s="75">
        <v>0.6</v>
      </c>
      <c r="N211" s="72">
        <v>-0.05</v>
      </c>
      <c r="O211" s="72">
        <v>-7.69</v>
      </c>
      <c r="P211" s="72">
        <v>745</v>
      </c>
      <c r="Q211" s="72">
        <v>0.3</v>
      </c>
      <c r="R211" s="77"/>
    </row>
    <row r="212" spans="3:18" ht="42" thickBot="1">
      <c r="C212" s="72"/>
      <c r="D212" s="72" t="s">
        <v>0</v>
      </c>
      <c r="E212" s="73">
        <v>46175</v>
      </c>
      <c r="F212" s="72" t="s">
        <v>1</v>
      </c>
      <c r="G212" s="74">
        <v>26350</v>
      </c>
      <c r="H212" s="72">
        <v>0.8</v>
      </c>
      <c r="I212" s="72">
        <v>0.85</v>
      </c>
      <c r="J212" s="72">
        <v>0.5</v>
      </c>
      <c r="K212" s="72">
        <v>0.55000000000000004</v>
      </c>
      <c r="L212" s="72">
        <v>0.8</v>
      </c>
      <c r="M212" s="75">
        <v>0.5</v>
      </c>
      <c r="N212" s="72">
        <v>-0.3</v>
      </c>
      <c r="O212" s="72">
        <v>-37.5</v>
      </c>
      <c r="P212" s="76">
        <v>20404</v>
      </c>
      <c r="Q212" s="72">
        <v>7.82</v>
      </c>
      <c r="R212" s="77"/>
    </row>
    <row r="213" spans="3:18" ht="42" thickBot="1">
      <c r="C213" s="72"/>
      <c r="D213" s="72" t="s">
        <v>0</v>
      </c>
      <c r="E213" s="73">
        <v>46175</v>
      </c>
      <c r="F213" s="72" t="s">
        <v>1</v>
      </c>
      <c r="G213" s="74">
        <v>26350</v>
      </c>
      <c r="H213" s="72">
        <v>1.25</v>
      </c>
      <c r="I213" s="72">
        <v>1.25</v>
      </c>
      <c r="J213" s="72">
        <v>0.75</v>
      </c>
      <c r="K213" s="72">
        <v>0.8</v>
      </c>
      <c r="L213" s="72">
        <v>1.05</v>
      </c>
      <c r="M213" s="75">
        <v>0.8</v>
      </c>
      <c r="N213" s="72">
        <v>-0.25</v>
      </c>
      <c r="O213" s="72">
        <v>-23.81</v>
      </c>
      <c r="P213" s="76">
        <v>2689</v>
      </c>
      <c r="Q213" s="72">
        <v>1.4</v>
      </c>
      <c r="R213" s="77"/>
    </row>
    <row r="214" spans="3:18" ht="42" thickBot="1">
      <c r="C214" s="72"/>
      <c r="D214" s="72" t="s">
        <v>0</v>
      </c>
      <c r="E214" s="73">
        <v>46168</v>
      </c>
      <c r="F214" s="72" t="s">
        <v>20</v>
      </c>
      <c r="G214" s="74">
        <v>26350</v>
      </c>
      <c r="H214" s="74">
        <v>2554.35</v>
      </c>
      <c r="I214" s="74">
        <v>2554.35</v>
      </c>
      <c r="J214" s="74">
        <v>2554.35</v>
      </c>
      <c r="K214" s="74">
        <v>2554.35</v>
      </c>
      <c r="L214" s="74">
        <v>2058</v>
      </c>
      <c r="M214" s="78">
        <v>2554.35</v>
      </c>
      <c r="N214" s="72">
        <v>496.35</v>
      </c>
      <c r="O214" s="72">
        <v>24.12</v>
      </c>
      <c r="P214" s="72">
        <v>2</v>
      </c>
      <c r="Q214" s="72">
        <v>3.32</v>
      </c>
      <c r="R214" s="77"/>
    </row>
    <row r="215" spans="3:18" ht="42" thickBot="1">
      <c r="C215" s="72"/>
      <c r="D215" s="72" t="s">
        <v>0</v>
      </c>
      <c r="E215" s="73">
        <v>46168</v>
      </c>
      <c r="F215" s="72" t="s">
        <v>1</v>
      </c>
      <c r="G215" s="74">
        <v>26400</v>
      </c>
      <c r="H215" s="72">
        <v>0.95</v>
      </c>
      <c r="I215" s="72">
        <v>1.1499999999999999</v>
      </c>
      <c r="J215" s="72">
        <v>0.45</v>
      </c>
      <c r="K215" s="72">
        <v>0.55000000000000004</v>
      </c>
      <c r="L215" s="72">
        <v>0.7</v>
      </c>
      <c r="M215" s="75">
        <v>0.45</v>
      </c>
      <c r="N215" s="72">
        <v>-0.25</v>
      </c>
      <c r="O215" s="72">
        <v>-35.71</v>
      </c>
      <c r="P215" s="76">
        <v>5861</v>
      </c>
      <c r="Q215" s="72">
        <v>2.44</v>
      </c>
      <c r="R215" s="77"/>
    </row>
    <row r="216" spans="3:18" ht="42" thickBot="1">
      <c r="C216" s="72"/>
      <c r="D216" s="72" t="s">
        <v>0</v>
      </c>
      <c r="E216" s="73">
        <v>46168</v>
      </c>
      <c r="F216" s="72" t="s">
        <v>20</v>
      </c>
      <c r="G216" s="74">
        <v>26400</v>
      </c>
      <c r="H216" s="74">
        <v>2630</v>
      </c>
      <c r="I216" s="74">
        <v>2630.2</v>
      </c>
      <c r="J216" s="74">
        <v>2565.1999999999998</v>
      </c>
      <c r="K216" s="74">
        <v>2628.35</v>
      </c>
      <c r="L216" s="74">
        <v>2749.05</v>
      </c>
      <c r="M216" s="78">
        <v>2625</v>
      </c>
      <c r="N216" s="72">
        <v>-124.05</v>
      </c>
      <c r="O216" s="72">
        <v>-4.51</v>
      </c>
      <c r="P216" s="72">
        <v>214</v>
      </c>
      <c r="Q216" s="72">
        <v>359.38</v>
      </c>
      <c r="R216" s="77"/>
    </row>
    <row r="217" spans="3:18" ht="42" thickBot="1">
      <c r="C217" s="72"/>
      <c r="D217" s="72" t="s">
        <v>0</v>
      </c>
      <c r="E217" s="73">
        <v>46168</v>
      </c>
      <c r="F217" s="72" t="s">
        <v>1</v>
      </c>
      <c r="G217" s="74">
        <v>26450</v>
      </c>
      <c r="H217" s="72">
        <v>1</v>
      </c>
      <c r="I217" s="72">
        <v>1.05</v>
      </c>
      <c r="J217" s="72">
        <v>0.5</v>
      </c>
      <c r="K217" s="72">
        <v>0.55000000000000004</v>
      </c>
      <c r="L217" s="72">
        <v>0.65</v>
      </c>
      <c r="M217" s="75">
        <v>0.55000000000000004</v>
      </c>
      <c r="N217" s="72">
        <v>-0.1</v>
      </c>
      <c r="O217" s="72">
        <v>-15.38</v>
      </c>
      <c r="P217" s="76">
        <v>1116</v>
      </c>
      <c r="Q217" s="72">
        <v>0.47</v>
      </c>
      <c r="R217" s="77"/>
    </row>
    <row r="218" spans="3:18" ht="42" thickBot="1">
      <c r="C218" s="72"/>
      <c r="D218" s="72" t="s">
        <v>0</v>
      </c>
      <c r="E218" s="73">
        <v>46168</v>
      </c>
      <c r="F218" s="72" t="s">
        <v>20</v>
      </c>
      <c r="G218" s="74">
        <v>26450</v>
      </c>
      <c r="H218" s="74">
        <v>2679.8</v>
      </c>
      <c r="I218" s="74">
        <v>2679.8</v>
      </c>
      <c r="J218" s="74">
        <v>2673</v>
      </c>
      <c r="K218" s="74">
        <v>2673</v>
      </c>
      <c r="L218" s="74">
        <v>2198.9499999999998</v>
      </c>
      <c r="M218" s="78">
        <v>2673</v>
      </c>
      <c r="N218" s="72">
        <v>474.05</v>
      </c>
      <c r="O218" s="72">
        <v>21.56</v>
      </c>
      <c r="P218" s="72">
        <v>2</v>
      </c>
      <c r="Q218" s="72">
        <v>3.48</v>
      </c>
      <c r="R218" s="77"/>
    </row>
    <row r="219" spans="3:18" ht="42" thickBot="1">
      <c r="C219" s="72"/>
      <c r="D219" s="72" t="s">
        <v>0</v>
      </c>
      <c r="E219" s="73">
        <v>46168</v>
      </c>
      <c r="F219" s="72" t="s">
        <v>1</v>
      </c>
      <c r="G219" s="74">
        <v>26500</v>
      </c>
      <c r="H219" s="72">
        <v>0.65</v>
      </c>
      <c r="I219" s="72">
        <v>0.9</v>
      </c>
      <c r="J219" s="72">
        <v>0.45</v>
      </c>
      <c r="K219" s="72">
        <v>0.5</v>
      </c>
      <c r="L219" s="72">
        <v>0.6</v>
      </c>
      <c r="M219" s="75">
        <v>0.5</v>
      </c>
      <c r="N219" s="72">
        <v>-0.1</v>
      </c>
      <c r="O219" s="72">
        <v>-16.670000000000002</v>
      </c>
      <c r="P219" s="76">
        <v>25408</v>
      </c>
      <c r="Q219" s="72">
        <v>8.75</v>
      </c>
      <c r="R219" s="77"/>
    </row>
    <row r="220" spans="3:18" ht="42" thickBot="1">
      <c r="C220" s="72"/>
      <c r="D220" s="72" t="s">
        <v>0</v>
      </c>
      <c r="E220" s="73">
        <v>46168</v>
      </c>
      <c r="F220" s="72" t="s">
        <v>20</v>
      </c>
      <c r="G220" s="74">
        <v>26500</v>
      </c>
      <c r="H220" s="74">
        <v>2780</v>
      </c>
      <c r="I220" s="74">
        <v>2808.95</v>
      </c>
      <c r="J220" s="74">
        <v>2660</v>
      </c>
      <c r="K220" s="74">
        <v>2770.1</v>
      </c>
      <c r="L220" s="74">
        <v>2863.7</v>
      </c>
      <c r="M220" s="78">
        <v>2727.35</v>
      </c>
      <c r="N220" s="72">
        <v>-136.35</v>
      </c>
      <c r="O220" s="72">
        <v>-4.76</v>
      </c>
      <c r="P220" s="76">
        <v>1683</v>
      </c>
      <c r="Q220" s="74">
        <v>2971.2</v>
      </c>
      <c r="R220" s="77"/>
    </row>
    <row r="221" spans="3:18" ht="42" thickBot="1">
      <c r="C221" s="72"/>
      <c r="D221" s="72" t="s">
        <v>0</v>
      </c>
      <c r="E221" s="73">
        <v>46168</v>
      </c>
      <c r="F221" s="72" t="s">
        <v>1</v>
      </c>
      <c r="G221" s="74">
        <v>26550</v>
      </c>
      <c r="H221" s="72">
        <v>0.7</v>
      </c>
      <c r="I221" s="72">
        <v>0.95</v>
      </c>
      <c r="J221" s="72">
        <v>0.45</v>
      </c>
      <c r="K221" s="72">
        <v>0.55000000000000004</v>
      </c>
      <c r="L221" s="72">
        <v>0.6</v>
      </c>
      <c r="M221" s="75">
        <v>0.5</v>
      </c>
      <c r="N221" s="72">
        <v>-0.1</v>
      </c>
      <c r="O221" s="72">
        <v>-16.670000000000002</v>
      </c>
      <c r="P221" s="72">
        <v>535</v>
      </c>
      <c r="Q221" s="72">
        <v>0.21</v>
      </c>
      <c r="R221" s="77"/>
    </row>
    <row r="222" spans="3:18" ht="42" thickBot="1">
      <c r="C222" s="72"/>
      <c r="D222" s="72" t="s">
        <v>0</v>
      </c>
      <c r="E222" s="73">
        <v>46168</v>
      </c>
      <c r="F222" s="72" t="s">
        <v>1</v>
      </c>
      <c r="G222" s="74">
        <v>26600</v>
      </c>
      <c r="H222" s="72">
        <v>0.85</v>
      </c>
      <c r="I222" s="72">
        <v>0.95</v>
      </c>
      <c r="J222" s="72">
        <v>0.4</v>
      </c>
      <c r="K222" s="72">
        <v>0.45</v>
      </c>
      <c r="L222" s="72">
        <v>0.55000000000000004</v>
      </c>
      <c r="M222" s="75">
        <v>0.45</v>
      </c>
      <c r="N222" s="72">
        <v>-0.1</v>
      </c>
      <c r="O222" s="72">
        <v>-18.18</v>
      </c>
      <c r="P222" s="76">
        <v>3979</v>
      </c>
      <c r="Q222" s="72">
        <v>1.42</v>
      </c>
      <c r="R222" s="77"/>
    </row>
    <row r="223" spans="3:18" ht="42" thickBot="1">
      <c r="C223" s="72"/>
      <c r="D223" s="72" t="s">
        <v>0</v>
      </c>
      <c r="E223" s="73">
        <v>46168</v>
      </c>
      <c r="F223" s="72" t="s">
        <v>20</v>
      </c>
      <c r="G223" s="74">
        <v>26600</v>
      </c>
      <c r="H223" s="74">
        <v>2850</v>
      </c>
      <c r="I223" s="74">
        <v>2850</v>
      </c>
      <c r="J223" s="74">
        <v>2850</v>
      </c>
      <c r="K223" s="74">
        <v>2850</v>
      </c>
      <c r="L223" s="74">
        <v>3010</v>
      </c>
      <c r="M223" s="78">
        <v>2850</v>
      </c>
      <c r="N223" s="72">
        <v>-160</v>
      </c>
      <c r="O223" s="72">
        <v>-5.32</v>
      </c>
      <c r="P223" s="72">
        <v>1</v>
      </c>
      <c r="Q223" s="72">
        <v>1.85</v>
      </c>
      <c r="R223" s="72"/>
    </row>
    <row r="224" spans="3:18" ht="42" thickBot="1">
      <c r="C224" s="72"/>
      <c r="D224" s="72" t="s">
        <v>0</v>
      </c>
      <c r="E224" s="73">
        <v>46168</v>
      </c>
      <c r="F224" s="72" t="s">
        <v>1</v>
      </c>
      <c r="G224" s="74">
        <v>26650</v>
      </c>
      <c r="H224" s="72">
        <v>0.9</v>
      </c>
      <c r="I224" s="72">
        <v>1</v>
      </c>
      <c r="J224" s="72">
        <v>0.4</v>
      </c>
      <c r="K224" s="72">
        <v>0.45</v>
      </c>
      <c r="L224" s="72">
        <v>0.6</v>
      </c>
      <c r="M224" s="75">
        <v>0.45</v>
      </c>
      <c r="N224" s="72">
        <v>-0.15</v>
      </c>
      <c r="O224" s="72">
        <v>-25</v>
      </c>
      <c r="P224" s="76">
        <v>1618</v>
      </c>
      <c r="Q224" s="72">
        <v>0.59</v>
      </c>
      <c r="R224" s="77"/>
    </row>
    <row r="225" spans="3:18" ht="42" thickBot="1">
      <c r="C225" s="72"/>
      <c r="D225" s="72" t="s">
        <v>0</v>
      </c>
      <c r="E225" s="73">
        <v>46168</v>
      </c>
      <c r="F225" s="72" t="s">
        <v>1</v>
      </c>
      <c r="G225" s="74">
        <v>26700</v>
      </c>
      <c r="H225" s="72">
        <v>0.75</v>
      </c>
      <c r="I225" s="72">
        <v>0.9</v>
      </c>
      <c r="J225" s="72">
        <v>0.4</v>
      </c>
      <c r="K225" s="72">
        <v>0.45</v>
      </c>
      <c r="L225" s="72">
        <v>0.6</v>
      </c>
      <c r="M225" s="75">
        <v>0.4</v>
      </c>
      <c r="N225" s="72">
        <v>-0.2</v>
      </c>
      <c r="O225" s="72">
        <v>-33.33</v>
      </c>
      <c r="P225" s="76">
        <v>1796</v>
      </c>
      <c r="Q225" s="72">
        <v>0.61</v>
      </c>
      <c r="R225" s="77"/>
    </row>
    <row r="226" spans="3:18" ht="42" thickBot="1">
      <c r="C226" s="72"/>
      <c r="D226" s="72" t="s">
        <v>0</v>
      </c>
      <c r="E226" s="73">
        <v>46168</v>
      </c>
      <c r="F226" s="72" t="s">
        <v>20</v>
      </c>
      <c r="G226" s="74">
        <v>26700</v>
      </c>
      <c r="H226" s="74">
        <v>2948</v>
      </c>
      <c r="I226" s="74">
        <v>2983.25</v>
      </c>
      <c r="J226" s="74">
        <v>2948</v>
      </c>
      <c r="K226" s="74">
        <v>2983.25</v>
      </c>
      <c r="L226" s="74">
        <v>3209.85</v>
      </c>
      <c r="M226" s="78">
        <v>2983.25</v>
      </c>
      <c r="N226" s="72">
        <v>-226.6</v>
      </c>
      <c r="O226" s="72">
        <v>-7.06</v>
      </c>
      <c r="P226" s="72">
        <v>4</v>
      </c>
      <c r="Q226" s="72">
        <v>7.69</v>
      </c>
      <c r="R226" s="77"/>
    </row>
    <row r="227" spans="3:18" ht="42" thickBot="1">
      <c r="C227" s="72"/>
      <c r="D227" s="72" t="s">
        <v>0</v>
      </c>
      <c r="E227" s="73">
        <v>46168</v>
      </c>
      <c r="F227" s="72" t="s">
        <v>1</v>
      </c>
      <c r="G227" s="74">
        <v>26750</v>
      </c>
      <c r="H227" s="72">
        <v>0.85</v>
      </c>
      <c r="I227" s="72">
        <v>1</v>
      </c>
      <c r="J227" s="72">
        <v>0.4</v>
      </c>
      <c r="K227" s="72">
        <v>0.45</v>
      </c>
      <c r="L227" s="72">
        <v>0.6</v>
      </c>
      <c r="M227" s="75">
        <v>0.45</v>
      </c>
      <c r="N227" s="72">
        <v>-0.15</v>
      </c>
      <c r="O227" s="72">
        <v>-25</v>
      </c>
      <c r="P227" s="76">
        <v>1382</v>
      </c>
      <c r="Q227" s="72">
        <v>0.53</v>
      </c>
      <c r="R227" s="77"/>
    </row>
    <row r="228" spans="3:18" ht="42" thickBot="1">
      <c r="C228" s="72"/>
      <c r="D228" s="72" t="s">
        <v>0</v>
      </c>
      <c r="E228" s="73">
        <v>46168</v>
      </c>
      <c r="F228" s="72" t="s">
        <v>1</v>
      </c>
      <c r="G228" s="74">
        <v>26800</v>
      </c>
      <c r="H228" s="72">
        <v>0.85</v>
      </c>
      <c r="I228" s="72">
        <v>1.1000000000000001</v>
      </c>
      <c r="J228" s="72">
        <v>0.35</v>
      </c>
      <c r="K228" s="72">
        <v>0.45</v>
      </c>
      <c r="L228" s="72">
        <v>0.55000000000000004</v>
      </c>
      <c r="M228" s="75">
        <v>0.4</v>
      </c>
      <c r="N228" s="72">
        <v>-0.15</v>
      </c>
      <c r="O228" s="72">
        <v>-27.27</v>
      </c>
      <c r="P228" s="76">
        <v>3005</v>
      </c>
      <c r="Q228" s="72">
        <v>0.98</v>
      </c>
      <c r="R228" s="77"/>
    </row>
    <row r="229" spans="3:18" ht="42" thickBot="1">
      <c r="C229" s="72"/>
      <c r="D229" s="72" t="s">
        <v>0</v>
      </c>
      <c r="E229" s="73">
        <v>46168</v>
      </c>
      <c r="F229" s="72" t="s">
        <v>20</v>
      </c>
      <c r="G229" s="74">
        <v>26800</v>
      </c>
      <c r="H229" s="74">
        <v>3000</v>
      </c>
      <c r="I229" s="74">
        <v>3000</v>
      </c>
      <c r="J229" s="74">
        <v>3000</v>
      </c>
      <c r="K229" s="74">
        <v>3000</v>
      </c>
      <c r="L229" s="74">
        <v>3167.15</v>
      </c>
      <c r="M229" s="78">
        <v>3000</v>
      </c>
      <c r="N229" s="72">
        <v>-167.15</v>
      </c>
      <c r="O229" s="72">
        <v>-5.28</v>
      </c>
      <c r="P229" s="72">
        <v>12</v>
      </c>
      <c r="Q229" s="72">
        <v>23.4</v>
      </c>
      <c r="R229" s="77"/>
    </row>
    <row r="230" spans="3:18" ht="42" thickBot="1">
      <c r="C230" s="72"/>
      <c r="D230" s="72" t="s">
        <v>0</v>
      </c>
      <c r="E230" s="73">
        <v>46168</v>
      </c>
      <c r="F230" s="72" t="s">
        <v>1</v>
      </c>
      <c r="G230" s="74">
        <v>26850</v>
      </c>
      <c r="H230" s="72">
        <v>0.85</v>
      </c>
      <c r="I230" s="72">
        <v>0.95</v>
      </c>
      <c r="J230" s="72">
        <v>0.35</v>
      </c>
      <c r="K230" s="72">
        <v>0.45</v>
      </c>
      <c r="L230" s="72">
        <v>0.55000000000000004</v>
      </c>
      <c r="M230" s="75">
        <v>0.4</v>
      </c>
      <c r="N230" s="72">
        <v>-0.15</v>
      </c>
      <c r="O230" s="72">
        <v>-27.27</v>
      </c>
      <c r="P230" s="76">
        <v>4734</v>
      </c>
      <c r="Q230" s="72">
        <v>1.6</v>
      </c>
      <c r="R230" s="77"/>
    </row>
    <row r="231" spans="3:18" ht="42" thickBot="1">
      <c r="C231" s="72"/>
      <c r="D231" s="72" t="s">
        <v>0</v>
      </c>
      <c r="E231" s="73">
        <v>46168</v>
      </c>
      <c r="F231" s="72" t="s">
        <v>1</v>
      </c>
      <c r="G231" s="74">
        <v>26900</v>
      </c>
      <c r="H231" s="72">
        <v>0.9</v>
      </c>
      <c r="I231" s="72">
        <v>1.25</v>
      </c>
      <c r="J231" s="72">
        <v>0.35</v>
      </c>
      <c r="K231" s="72">
        <v>0.4</v>
      </c>
      <c r="L231" s="72">
        <v>0.55000000000000004</v>
      </c>
      <c r="M231" s="75">
        <v>0.4</v>
      </c>
      <c r="N231" s="72">
        <v>-0.15</v>
      </c>
      <c r="O231" s="72">
        <v>-27.27</v>
      </c>
      <c r="P231" s="76">
        <v>6334</v>
      </c>
      <c r="Q231" s="72">
        <v>2.14</v>
      </c>
      <c r="R231" s="77"/>
    </row>
    <row r="232" spans="3:18" ht="42" thickBot="1">
      <c r="C232" s="72"/>
      <c r="D232" s="72" t="s">
        <v>0</v>
      </c>
      <c r="E232" s="73">
        <v>46168</v>
      </c>
      <c r="F232" s="72" t="s">
        <v>1</v>
      </c>
      <c r="G232" s="74">
        <v>26950</v>
      </c>
      <c r="H232" s="72">
        <v>0.75</v>
      </c>
      <c r="I232" s="72">
        <v>1.45</v>
      </c>
      <c r="J232" s="72">
        <v>0.35</v>
      </c>
      <c r="K232" s="72">
        <v>0.45</v>
      </c>
      <c r="L232" s="72">
        <v>0.65</v>
      </c>
      <c r="M232" s="75">
        <v>0.4</v>
      </c>
      <c r="N232" s="72">
        <v>-0.25</v>
      </c>
      <c r="O232" s="72">
        <v>-38.46</v>
      </c>
      <c r="P232" s="76">
        <v>10032</v>
      </c>
      <c r="Q232" s="72">
        <v>3.85</v>
      </c>
      <c r="R232" s="77"/>
    </row>
    <row r="233" spans="3:18" ht="42" thickBot="1">
      <c r="C233" s="72"/>
      <c r="D233" s="72" t="s">
        <v>0</v>
      </c>
      <c r="E233" s="73">
        <v>46168</v>
      </c>
      <c r="F233" s="72" t="s">
        <v>1</v>
      </c>
      <c r="G233" s="74">
        <v>27000</v>
      </c>
      <c r="H233" s="72">
        <v>0.5</v>
      </c>
      <c r="I233" s="72">
        <v>0.65</v>
      </c>
      <c r="J233" s="72">
        <v>0.35</v>
      </c>
      <c r="K233" s="72">
        <v>0.45</v>
      </c>
      <c r="L233" s="72">
        <v>0.5</v>
      </c>
      <c r="M233" s="75">
        <v>0.4</v>
      </c>
      <c r="N233" s="72">
        <v>-0.1</v>
      </c>
      <c r="O233" s="72">
        <v>-20</v>
      </c>
      <c r="P233" s="76">
        <v>30877</v>
      </c>
      <c r="Q233" s="72">
        <v>9.0299999999999994</v>
      </c>
      <c r="R233" s="77"/>
    </row>
    <row r="234" spans="3:18" ht="42" thickBot="1">
      <c r="C234" s="72"/>
      <c r="D234" s="72" t="s">
        <v>0</v>
      </c>
      <c r="E234" s="73">
        <v>46168</v>
      </c>
      <c r="F234" s="72" t="s">
        <v>20</v>
      </c>
      <c r="G234" s="74">
        <v>27000</v>
      </c>
      <c r="H234" s="74">
        <v>3295</v>
      </c>
      <c r="I234" s="74">
        <v>3300.55</v>
      </c>
      <c r="J234" s="74">
        <v>3160.6</v>
      </c>
      <c r="K234" s="74">
        <v>3255.7</v>
      </c>
      <c r="L234" s="74">
        <v>3364.9</v>
      </c>
      <c r="M234" s="78">
        <v>3215.3</v>
      </c>
      <c r="N234" s="72">
        <v>-149.6</v>
      </c>
      <c r="O234" s="72">
        <v>-4.45</v>
      </c>
      <c r="P234" s="76">
        <v>2880</v>
      </c>
      <c r="Q234" s="74">
        <v>6021.01</v>
      </c>
      <c r="R234" s="77"/>
    </row>
    <row r="235" spans="3:18" ht="42" thickBot="1">
      <c r="C235" s="72"/>
      <c r="D235" s="72" t="s">
        <v>0</v>
      </c>
      <c r="E235" s="73">
        <v>46168</v>
      </c>
      <c r="F235" s="72" t="s">
        <v>1</v>
      </c>
      <c r="G235" s="74">
        <v>27050</v>
      </c>
      <c r="H235" s="72">
        <v>0.75</v>
      </c>
      <c r="I235" s="72">
        <v>1.05</v>
      </c>
      <c r="J235" s="72">
        <v>0.35</v>
      </c>
      <c r="K235" s="72">
        <v>0.45</v>
      </c>
      <c r="L235" s="72">
        <v>0.55000000000000004</v>
      </c>
      <c r="M235" s="75">
        <v>0.4</v>
      </c>
      <c r="N235" s="72">
        <v>-0.15</v>
      </c>
      <c r="O235" s="72">
        <v>-27.27</v>
      </c>
      <c r="P235" s="76">
        <v>3145</v>
      </c>
      <c r="Q235" s="72">
        <v>1.1200000000000001</v>
      </c>
      <c r="R235" s="77"/>
    </row>
    <row r="236" spans="3:18" ht="42" thickBot="1">
      <c r="C236" s="72"/>
      <c r="D236" s="72" t="s">
        <v>0</v>
      </c>
      <c r="E236" s="73">
        <v>46168</v>
      </c>
      <c r="F236" s="72" t="s">
        <v>1</v>
      </c>
      <c r="G236" s="74">
        <v>27100</v>
      </c>
      <c r="H236" s="72">
        <v>0.5</v>
      </c>
      <c r="I236" s="72">
        <v>0.7</v>
      </c>
      <c r="J236" s="72">
        <v>0.35</v>
      </c>
      <c r="K236" s="72">
        <v>0.4</v>
      </c>
      <c r="L236" s="72">
        <v>0.5</v>
      </c>
      <c r="M236" s="75">
        <v>0.35</v>
      </c>
      <c r="N236" s="72">
        <v>-0.15</v>
      </c>
      <c r="O236" s="72">
        <v>-30</v>
      </c>
      <c r="P236" s="76">
        <v>4730</v>
      </c>
      <c r="Q236" s="72">
        <v>1.32</v>
      </c>
      <c r="R236" s="77"/>
    </row>
    <row r="237" spans="3:18" ht="42" thickBot="1">
      <c r="C237" s="72"/>
      <c r="D237" s="72" t="s">
        <v>0</v>
      </c>
      <c r="E237" s="73">
        <v>46168</v>
      </c>
      <c r="F237" s="72" t="s">
        <v>20</v>
      </c>
      <c r="G237" s="74">
        <v>27100</v>
      </c>
      <c r="H237" s="74">
        <v>3300</v>
      </c>
      <c r="I237" s="74">
        <v>3320</v>
      </c>
      <c r="J237" s="74">
        <v>3288</v>
      </c>
      <c r="K237" s="74">
        <v>3288</v>
      </c>
      <c r="L237" s="74">
        <v>3494.85</v>
      </c>
      <c r="M237" s="78">
        <v>3288</v>
      </c>
      <c r="N237" s="72">
        <v>-206.85</v>
      </c>
      <c r="O237" s="72">
        <v>-5.92</v>
      </c>
      <c r="P237" s="72">
        <v>6</v>
      </c>
      <c r="Q237" s="72">
        <v>12.88</v>
      </c>
      <c r="R237" s="77"/>
    </row>
    <row r="238" spans="3:18" ht="42" thickBot="1">
      <c r="C238" s="72"/>
      <c r="D238" s="72" t="s">
        <v>0</v>
      </c>
      <c r="E238" s="73">
        <v>46140</v>
      </c>
      <c r="F238" s="72" t="s">
        <v>1</v>
      </c>
      <c r="G238" s="74">
        <v>27150</v>
      </c>
      <c r="H238" s="88">
        <v>0.45</v>
      </c>
      <c r="I238" s="72">
        <v>0.55000000000000004</v>
      </c>
      <c r="J238" s="72">
        <v>0.3</v>
      </c>
      <c r="K238" s="97"/>
      <c r="L238" s="88">
        <v>0.5</v>
      </c>
      <c r="M238" s="75">
        <v>0.4</v>
      </c>
      <c r="N238" s="72">
        <v>-0.1</v>
      </c>
      <c r="O238" s="72">
        <v>-20</v>
      </c>
      <c r="P238" s="72">
        <v>431</v>
      </c>
      <c r="Q238" s="72">
        <v>0.11</v>
      </c>
      <c r="R238" s="77"/>
    </row>
    <row r="239" spans="3:18" ht="42" thickBot="1">
      <c r="C239" s="72"/>
      <c r="D239" s="72" t="s">
        <v>0</v>
      </c>
      <c r="E239" s="73">
        <v>46168</v>
      </c>
      <c r="F239" s="72" t="s">
        <v>1</v>
      </c>
      <c r="G239" s="74">
        <v>27150</v>
      </c>
      <c r="H239" s="72">
        <v>0.75</v>
      </c>
      <c r="I239" s="72">
        <v>0.75</v>
      </c>
      <c r="J239" s="72">
        <v>0.35</v>
      </c>
      <c r="K239" s="72">
        <v>0.4</v>
      </c>
      <c r="L239" s="72">
        <v>0.5</v>
      </c>
      <c r="M239" s="75">
        <v>0.4</v>
      </c>
      <c r="N239" s="72">
        <v>-0.1</v>
      </c>
      <c r="O239" s="72">
        <v>-20</v>
      </c>
      <c r="P239" s="76">
        <v>2395</v>
      </c>
      <c r="Q239" s="72">
        <v>0.67</v>
      </c>
      <c r="R239" s="77"/>
    </row>
    <row r="240" spans="3:18" ht="42" thickBot="1">
      <c r="C240" s="72"/>
      <c r="D240" s="72" t="s">
        <v>0</v>
      </c>
      <c r="E240" s="73">
        <v>46168</v>
      </c>
      <c r="F240" s="72" t="s">
        <v>1</v>
      </c>
      <c r="G240" s="74">
        <v>27150</v>
      </c>
      <c r="H240" s="72">
        <v>0.8</v>
      </c>
      <c r="I240" s="72">
        <v>1.05</v>
      </c>
      <c r="J240" s="72">
        <v>0.5</v>
      </c>
      <c r="K240" s="72">
        <v>0.6</v>
      </c>
      <c r="L240" s="72">
        <v>0.45</v>
      </c>
      <c r="M240" s="75">
        <v>0.55000000000000004</v>
      </c>
      <c r="N240" s="72">
        <v>0.1</v>
      </c>
      <c r="O240" s="72">
        <v>22.22</v>
      </c>
      <c r="P240" s="76">
        <v>4082</v>
      </c>
      <c r="Q240" s="72">
        <v>1.59</v>
      </c>
      <c r="R240" s="77"/>
    </row>
    <row r="241" spans="3:18" ht="42" thickBot="1">
      <c r="C241" s="72"/>
      <c r="D241" s="72" t="s">
        <v>0</v>
      </c>
      <c r="E241" s="73">
        <v>46140</v>
      </c>
      <c r="F241" s="72" t="s">
        <v>1</v>
      </c>
      <c r="G241" s="74">
        <v>27200</v>
      </c>
      <c r="H241" s="88">
        <v>0.5</v>
      </c>
      <c r="I241" s="72">
        <v>0.5</v>
      </c>
      <c r="J241" s="72">
        <v>0.35</v>
      </c>
      <c r="K241" s="97"/>
      <c r="L241" s="88">
        <v>0.55000000000000004</v>
      </c>
      <c r="M241" s="75">
        <v>0.4</v>
      </c>
      <c r="N241" s="72">
        <v>-0.15</v>
      </c>
      <c r="O241" s="72">
        <v>-27.27</v>
      </c>
      <c r="P241" s="76">
        <v>2341</v>
      </c>
      <c r="Q241" s="72">
        <v>0.61</v>
      </c>
      <c r="R241" s="77"/>
    </row>
    <row r="242" spans="3:18" ht="42" thickBot="1">
      <c r="C242" s="72"/>
      <c r="D242" s="72" t="s">
        <v>0</v>
      </c>
      <c r="E242" s="73">
        <v>46168</v>
      </c>
      <c r="F242" s="72" t="s">
        <v>1</v>
      </c>
      <c r="G242" s="74">
        <v>27200</v>
      </c>
      <c r="H242" s="72">
        <v>0.55000000000000004</v>
      </c>
      <c r="I242" s="72">
        <v>0.8</v>
      </c>
      <c r="J242" s="72">
        <v>0.35</v>
      </c>
      <c r="K242" s="72">
        <v>0.4</v>
      </c>
      <c r="L242" s="72">
        <v>0.45</v>
      </c>
      <c r="M242" s="75">
        <v>0.35</v>
      </c>
      <c r="N242" s="72">
        <v>-0.1</v>
      </c>
      <c r="O242" s="72">
        <v>-22.22</v>
      </c>
      <c r="P242" s="76">
        <v>7994</v>
      </c>
      <c r="Q242" s="72">
        <v>2.1800000000000002</v>
      </c>
      <c r="R242" s="77"/>
    </row>
    <row r="243" spans="3:18" ht="42" thickBot="1">
      <c r="C243" s="72"/>
      <c r="D243" s="72" t="s">
        <v>0</v>
      </c>
      <c r="E243" s="73">
        <v>46168</v>
      </c>
      <c r="F243" s="72" t="s">
        <v>1</v>
      </c>
      <c r="G243" s="74">
        <v>27200</v>
      </c>
      <c r="H243" s="72">
        <v>0.6</v>
      </c>
      <c r="I243" s="72">
        <v>1.55</v>
      </c>
      <c r="J243" s="72">
        <v>0.5</v>
      </c>
      <c r="K243" s="72">
        <v>0.6</v>
      </c>
      <c r="L243" s="72">
        <v>0.6</v>
      </c>
      <c r="M243" s="75">
        <v>0.55000000000000004</v>
      </c>
      <c r="N243" s="72">
        <v>-0.05</v>
      </c>
      <c r="O243" s="72">
        <v>-8.33</v>
      </c>
      <c r="P243" s="76">
        <v>6208</v>
      </c>
      <c r="Q243" s="72">
        <v>2.46</v>
      </c>
      <c r="R243" s="77"/>
    </row>
    <row r="244" spans="3:18" ht="42" thickBot="1">
      <c r="C244" s="72"/>
      <c r="D244" s="72" t="s">
        <v>0</v>
      </c>
      <c r="E244" s="73">
        <v>46168</v>
      </c>
      <c r="F244" s="72" t="s">
        <v>1</v>
      </c>
      <c r="G244" s="74">
        <v>27200</v>
      </c>
      <c r="H244" s="72">
        <v>0.8</v>
      </c>
      <c r="I244" s="72">
        <v>0.85</v>
      </c>
      <c r="J244" s="72">
        <v>0.4</v>
      </c>
      <c r="K244" s="72">
        <v>0.45</v>
      </c>
      <c r="L244" s="72">
        <v>0.6</v>
      </c>
      <c r="M244" s="75">
        <v>0.45</v>
      </c>
      <c r="N244" s="72">
        <v>-0.15</v>
      </c>
      <c r="O244" s="72">
        <v>-25</v>
      </c>
      <c r="P244" s="76">
        <v>11731</v>
      </c>
      <c r="Q244" s="72">
        <v>4.7300000000000004</v>
      </c>
      <c r="R244" s="77"/>
    </row>
    <row r="245" spans="3:18" ht="42" thickBot="1">
      <c r="C245" s="72"/>
      <c r="D245" s="72" t="s">
        <v>0</v>
      </c>
      <c r="E245" s="73">
        <v>46140</v>
      </c>
      <c r="F245" s="72" t="s">
        <v>20</v>
      </c>
      <c r="G245" s="74">
        <v>27200</v>
      </c>
      <c r="H245" s="89">
        <v>3299</v>
      </c>
      <c r="I245" s="74">
        <v>3299</v>
      </c>
      <c r="J245" s="74">
        <v>3268.5</v>
      </c>
      <c r="K245" s="98"/>
      <c r="L245" s="89">
        <v>2750</v>
      </c>
      <c r="M245" s="78">
        <v>3268.5</v>
      </c>
      <c r="N245" s="72">
        <v>518.5</v>
      </c>
      <c r="O245" s="72">
        <v>18.850000000000001</v>
      </c>
      <c r="P245" s="72">
        <v>2</v>
      </c>
      <c r="Q245" s="72">
        <v>4.2699999999999996</v>
      </c>
      <c r="R245" s="77"/>
    </row>
    <row r="246" spans="3:18" ht="42" thickBot="1">
      <c r="C246" s="72"/>
      <c r="D246" s="72" t="s">
        <v>0</v>
      </c>
      <c r="E246" s="73">
        <v>46168</v>
      </c>
      <c r="F246" s="72" t="s">
        <v>20</v>
      </c>
      <c r="G246" s="74">
        <v>27200</v>
      </c>
      <c r="H246" s="74">
        <v>3435</v>
      </c>
      <c r="I246" s="74">
        <v>3500</v>
      </c>
      <c r="J246" s="74">
        <v>3351.2</v>
      </c>
      <c r="K246" s="74">
        <v>3471.2</v>
      </c>
      <c r="L246" s="74">
        <v>3619.6</v>
      </c>
      <c r="M246" s="78">
        <v>3440.2</v>
      </c>
      <c r="N246" s="72">
        <v>-179.4</v>
      </c>
      <c r="O246" s="72">
        <v>-4.96</v>
      </c>
      <c r="P246" s="72">
        <v>128</v>
      </c>
      <c r="Q246" s="72">
        <v>284.45</v>
      </c>
      <c r="R246" s="77"/>
    </row>
    <row r="247" spans="3:18" ht="42" thickBot="1">
      <c r="C247" s="72"/>
      <c r="D247" s="72" t="s">
        <v>0</v>
      </c>
      <c r="E247" s="73">
        <v>46168</v>
      </c>
      <c r="F247" s="72" t="s">
        <v>20</v>
      </c>
      <c r="G247" s="74">
        <v>27200</v>
      </c>
      <c r="H247" s="74">
        <v>3679.6</v>
      </c>
      <c r="I247" s="74">
        <v>3679.6</v>
      </c>
      <c r="J247" s="74">
        <v>3614.15</v>
      </c>
      <c r="K247" s="74">
        <v>3619.6</v>
      </c>
      <c r="L247" s="74">
        <v>3730</v>
      </c>
      <c r="M247" s="78">
        <v>3619.6</v>
      </c>
      <c r="N247" s="72">
        <v>-110.4</v>
      </c>
      <c r="O247" s="72">
        <v>-2.96</v>
      </c>
      <c r="P247" s="72">
        <v>8</v>
      </c>
      <c r="Q247" s="72">
        <v>18.98</v>
      </c>
      <c r="R247" s="77"/>
    </row>
    <row r="248" spans="3:18" ht="42" thickBot="1">
      <c r="C248" s="72"/>
      <c r="D248" s="72" t="s">
        <v>0</v>
      </c>
      <c r="E248" s="73">
        <v>46140</v>
      </c>
      <c r="F248" s="72" t="s">
        <v>1</v>
      </c>
      <c r="G248" s="74">
        <v>27250</v>
      </c>
      <c r="H248" s="88">
        <v>0.45</v>
      </c>
      <c r="I248" s="72">
        <v>0.5</v>
      </c>
      <c r="J248" s="72">
        <v>0.3</v>
      </c>
      <c r="K248" s="97"/>
      <c r="L248" s="88">
        <v>0.5</v>
      </c>
      <c r="M248" s="75">
        <v>0.5</v>
      </c>
      <c r="N248" s="72">
        <v>0</v>
      </c>
      <c r="O248" s="72">
        <v>0</v>
      </c>
      <c r="P248" s="72">
        <v>412</v>
      </c>
      <c r="Q248" s="72">
        <v>0.11</v>
      </c>
      <c r="R248" s="77"/>
    </row>
    <row r="249" spans="3:18" ht="42" thickBot="1">
      <c r="C249" s="72"/>
      <c r="D249" s="72" t="s">
        <v>0</v>
      </c>
      <c r="E249" s="73">
        <v>46168</v>
      </c>
      <c r="F249" s="72" t="s">
        <v>1</v>
      </c>
      <c r="G249" s="74">
        <v>27250</v>
      </c>
      <c r="H249" s="72">
        <v>0.5</v>
      </c>
      <c r="I249" s="72">
        <v>0.55000000000000004</v>
      </c>
      <c r="J249" s="72">
        <v>0.35</v>
      </c>
      <c r="K249" s="72">
        <v>0.4</v>
      </c>
      <c r="L249" s="72">
        <v>0.5</v>
      </c>
      <c r="M249" s="75">
        <v>0.4</v>
      </c>
      <c r="N249" s="72">
        <v>-0.1</v>
      </c>
      <c r="O249" s="72">
        <v>-20</v>
      </c>
      <c r="P249" s="76">
        <v>7932</v>
      </c>
      <c r="Q249" s="72">
        <v>2.17</v>
      </c>
      <c r="R249" s="77"/>
    </row>
    <row r="250" spans="3:18" ht="42" thickBot="1">
      <c r="C250" s="72"/>
      <c r="D250" s="72" t="s">
        <v>0</v>
      </c>
      <c r="E250" s="73">
        <v>46168</v>
      </c>
      <c r="F250" s="72" t="s">
        <v>1</v>
      </c>
      <c r="G250" s="74">
        <v>27250</v>
      </c>
      <c r="H250" s="72">
        <v>0.6</v>
      </c>
      <c r="I250" s="72">
        <v>1.8</v>
      </c>
      <c r="J250" s="72">
        <v>0.5</v>
      </c>
      <c r="K250" s="72">
        <v>0.6</v>
      </c>
      <c r="L250" s="72">
        <v>0.6</v>
      </c>
      <c r="M250" s="75">
        <v>0.7</v>
      </c>
      <c r="N250" s="72">
        <v>0.1</v>
      </c>
      <c r="O250" s="72">
        <v>16.670000000000002</v>
      </c>
      <c r="P250" s="76">
        <v>4853</v>
      </c>
      <c r="Q250" s="72">
        <v>1.86</v>
      </c>
      <c r="R250" s="77"/>
    </row>
    <row r="251" spans="3:18" ht="42" thickBot="1">
      <c r="C251" s="72"/>
      <c r="D251" s="72" t="s">
        <v>0</v>
      </c>
      <c r="E251" s="73">
        <v>46168</v>
      </c>
      <c r="F251" s="72" t="s">
        <v>1</v>
      </c>
      <c r="G251" s="74">
        <v>27250</v>
      </c>
      <c r="H251" s="72">
        <v>0.65</v>
      </c>
      <c r="I251" s="72">
        <v>0.95</v>
      </c>
      <c r="J251" s="72">
        <v>0.45</v>
      </c>
      <c r="K251" s="72">
        <v>0.5</v>
      </c>
      <c r="L251" s="72">
        <v>0.6</v>
      </c>
      <c r="M251" s="75">
        <v>0.55000000000000004</v>
      </c>
      <c r="N251" s="72">
        <v>-0.05</v>
      </c>
      <c r="O251" s="72">
        <v>-8.33</v>
      </c>
      <c r="P251" s="76">
        <v>9460</v>
      </c>
      <c r="Q251" s="72">
        <v>3.69</v>
      </c>
      <c r="R251" s="77"/>
    </row>
    <row r="252" spans="3:18" ht="42" thickBot="1">
      <c r="C252" s="72"/>
      <c r="D252" s="72" t="s">
        <v>0</v>
      </c>
      <c r="E252" s="73">
        <v>46168</v>
      </c>
      <c r="F252" s="72" t="s">
        <v>20</v>
      </c>
      <c r="G252" s="74">
        <v>27250</v>
      </c>
      <c r="H252" s="74">
        <v>3527.15</v>
      </c>
      <c r="I252" s="74">
        <v>3696.85</v>
      </c>
      <c r="J252" s="74">
        <v>3479.45</v>
      </c>
      <c r="K252" s="74">
        <v>3616.05</v>
      </c>
      <c r="L252" s="74">
        <v>3597.5</v>
      </c>
      <c r="M252" s="78">
        <v>3616</v>
      </c>
      <c r="N252" s="72">
        <v>18.5</v>
      </c>
      <c r="O252" s="72">
        <v>0.51</v>
      </c>
      <c r="P252" s="72">
        <v>66</v>
      </c>
      <c r="Q252" s="72">
        <v>152.07</v>
      </c>
      <c r="R252" s="77"/>
    </row>
    <row r="253" spans="3:18" ht="42" thickBot="1">
      <c r="C253" s="72"/>
      <c r="D253" s="72" t="s">
        <v>0</v>
      </c>
      <c r="E253" s="73">
        <v>46168</v>
      </c>
      <c r="F253" s="72" t="s">
        <v>20</v>
      </c>
      <c r="G253" s="74">
        <v>27250</v>
      </c>
      <c r="H253" s="74">
        <v>3531.15</v>
      </c>
      <c r="I253" s="74">
        <v>3531.15</v>
      </c>
      <c r="J253" s="74">
        <v>3436.15</v>
      </c>
      <c r="K253" s="74">
        <v>3449</v>
      </c>
      <c r="L253" s="74">
        <v>3616.05</v>
      </c>
      <c r="M253" s="78">
        <v>3449</v>
      </c>
      <c r="N253" s="72">
        <v>-167.05</v>
      </c>
      <c r="O253" s="72">
        <v>-4.62</v>
      </c>
      <c r="P253" s="72">
        <v>31</v>
      </c>
      <c r="Q253" s="72">
        <v>69.930000000000007</v>
      </c>
      <c r="R253" s="77"/>
    </row>
    <row r="254" spans="3:18" ht="42" thickBot="1">
      <c r="C254" s="72"/>
      <c r="D254" s="72" t="s">
        <v>0</v>
      </c>
      <c r="E254" s="73">
        <v>46168</v>
      </c>
      <c r="F254" s="72" t="s">
        <v>20</v>
      </c>
      <c r="G254" s="74">
        <v>27250</v>
      </c>
      <c r="H254" s="74">
        <v>3806.15</v>
      </c>
      <c r="I254" s="74">
        <v>3806.15</v>
      </c>
      <c r="J254" s="74">
        <v>3567.1</v>
      </c>
      <c r="K254" s="74">
        <v>3597.5</v>
      </c>
      <c r="L254" s="74">
        <v>3528.5</v>
      </c>
      <c r="M254" s="78">
        <v>3597.5</v>
      </c>
      <c r="N254" s="72">
        <v>69</v>
      </c>
      <c r="O254" s="72">
        <v>1.96</v>
      </c>
      <c r="P254" s="72">
        <v>67</v>
      </c>
      <c r="Q254" s="72">
        <v>159.44999999999999</v>
      </c>
      <c r="R254" s="77"/>
    </row>
    <row r="255" spans="3:18" ht="42" thickBot="1">
      <c r="C255" s="72"/>
      <c r="D255" s="72" t="s">
        <v>0</v>
      </c>
      <c r="E255" s="73">
        <v>46140</v>
      </c>
      <c r="F255" s="72" t="s">
        <v>1</v>
      </c>
      <c r="G255" s="74">
        <v>27300</v>
      </c>
      <c r="H255" s="88">
        <v>0.45</v>
      </c>
      <c r="I255" s="72">
        <v>0.5</v>
      </c>
      <c r="J255" s="72">
        <v>0.3</v>
      </c>
      <c r="K255" s="97"/>
      <c r="L255" s="88">
        <v>0.5</v>
      </c>
      <c r="M255" s="75">
        <v>0.4</v>
      </c>
      <c r="N255" s="72">
        <v>-0.1</v>
      </c>
      <c r="O255" s="72">
        <v>-20</v>
      </c>
      <c r="P255" s="72">
        <v>756</v>
      </c>
      <c r="Q255" s="72">
        <v>0.2</v>
      </c>
      <c r="R255" s="77"/>
    </row>
    <row r="256" spans="3:18" ht="42" thickBot="1">
      <c r="C256" s="72"/>
      <c r="D256" s="72" t="s">
        <v>0</v>
      </c>
      <c r="E256" s="73">
        <v>46140</v>
      </c>
      <c r="F256" s="72" t="s">
        <v>20</v>
      </c>
      <c r="G256" s="74">
        <v>27300</v>
      </c>
      <c r="H256" s="89">
        <v>3102.95</v>
      </c>
      <c r="I256" s="74">
        <v>3314.7</v>
      </c>
      <c r="J256" s="74">
        <v>3102.95</v>
      </c>
      <c r="K256" s="98"/>
      <c r="L256" s="89">
        <v>2831</v>
      </c>
      <c r="M256" s="78">
        <v>3314.7</v>
      </c>
      <c r="N256" s="72">
        <v>483.7</v>
      </c>
      <c r="O256" s="72">
        <v>17.09</v>
      </c>
      <c r="P256" s="72">
        <v>2</v>
      </c>
      <c r="Q256" s="72">
        <v>4.17</v>
      </c>
      <c r="R256" s="77"/>
    </row>
    <row r="257" spans="3:18" ht="42" thickBot="1">
      <c r="C257" s="72"/>
      <c r="D257" s="72" t="s">
        <v>0</v>
      </c>
      <c r="E257" s="73">
        <v>46140</v>
      </c>
      <c r="F257" s="72" t="s">
        <v>1</v>
      </c>
      <c r="G257" s="74">
        <v>27350</v>
      </c>
      <c r="H257" s="88">
        <v>0.5</v>
      </c>
      <c r="I257" s="72">
        <v>0.5</v>
      </c>
      <c r="J257" s="72">
        <v>0.35</v>
      </c>
      <c r="K257" s="97"/>
      <c r="L257" s="88">
        <v>0.5</v>
      </c>
      <c r="M257" s="75">
        <v>0.35</v>
      </c>
      <c r="N257" s="72">
        <v>-0.15</v>
      </c>
      <c r="O257" s="72">
        <v>-30</v>
      </c>
      <c r="P257" s="72">
        <v>517</v>
      </c>
      <c r="Q257" s="72">
        <v>0.14000000000000001</v>
      </c>
      <c r="R257" s="77"/>
    </row>
    <row r="258" spans="3:18" ht="42" thickBot="1">
      <c r="C258" s="72"/>
      <c r="D258" s="72" t="s">
        <v>0</v>
      </c>
      <c r="E258" s="73">
        <v>46140</v>
      </c>
      <c r="F258" s="72" t="s">
        <v>1</v>
      </c>
      <c r="G258" s="74">
        <v>27400</v>
      </c>
      <c r="H258" s="88">
        <v>0.4</v>
      </c>
      <c r="I258" s="72">
        <v>0.45</v>
      </c>
      <c r="J258" s="72">
        <v>0.25</v>
      </c>
      <c r="K258" s="97"/>
      <c r="L258" s="88">
        <v>0.45</v>
      </c>
      <c r="M258" s="75">
        <v>0.4</v>
      </c>
      <c r="N258" s="72">
        <v>-0.05</v>
      </c>
      <c r="O258" s="72">
        <v>-11.11</v>
      </c>
      <c r="P258" s="76">
        <v>3949</v>
      </c>
      <c r="Q258" s="72">
        <v>0.87</v>
      </c>
      <c r="R258" s="77"/>
    </row>
    <row r="259" spans="3:18" ht="42" thickBot="1">
      <c r="C259" s="72"/>
      <c r="D259" s="72" t="s">
        <v>0</v>
      </c>
      <c r="E259" s="73">
        <v>46140</v>
      </c>
      <c r="F259" s="72" t="s">
        <v>1</v>
      </c>
      <c r="G259" s="74">
        <v>27450</v>
      </c>
      <c r="H259" s="88">
        <v>0.4</v>
      </c>
      <c r="I259" s="72">
        <v>0.5</v>
      </c>
      <c r="J259" s="72">
        <v>0.3</v>
      </c>
      <c r="K259" s="97"/>
      <c r="L259" s="88">
        <v>0.4</v>
      </c>
      <c r="M259" s="75">
        <v>0.35</v>
      </c>
      <c r="N259" s="72">
        <v>-0.05</v>
      </c>
      <c r="O259" s="72">
        <v>-12.5</v>
      </c>
      <c r="P259" s="76">
        <v>2019</v>
      </c>
      <c r="Q259" s="72">
        <v>0.46</v>
      </c>
      <c r="R259" s="77"/>
    </row>
    <row r="260" spans="3:18" ht="42" thickBot="1">
      <c r="C260" s="72"/>
      <c r="D260" s="72" t="s">
        <v>0</v>
      </c>
      <c r="E260" s="73">
        <v>46140</v>
      </c>
      <c r="F260" s="72" t="s">
        <v>1</v>
      </c>
      <c r="G260" s="74">
        <v>27500</v>
      </c>
      <c r="H260" s="88">
        <v>0.4</v>
      </c>
      <c r="I260" s="72">
        <v>0.45</v>
      </c>
      <c r="J260" s="72">
        <v>0.3</v>
      </c>
      <c r="K260" s="97"/>
      <c r="L260" s="88">
        <v>0.45</v>
      </c>
      <c r="M260" s="75">
        <v>0.35</v>
      </c>
      <c r="N260" s="72">
        <v>-0.1</v>
      </c>
      <c r="O260" s="72">
        <v>-22.22</v>
      </c>
      <c r="P260" s="76">
        <v>11445</v>
      </c>
      <c r="Q260" s="72">
        <v>2.6</v>
      </c>
      <c r="R260" s="77"/>
    </row>
    <row r="261" spans="3:18" ht="42" thickBot="1">
      <c r="C261" s="72"/>
      <c r="D261" s="72" t="s">
        <v>0</v>
      </c>
      <c r="E261" s="73">
        <v>46140</v>
      </c>
      <c r="F261" s="72" t="s">
        <v>20</v>
      </c>
      <c r="G261" s="74">
        <v>27500</v>
      </c>
      <c r="H261" s="89">
        <v>3431.9</v>
      </c>
      <c r="I261" s="74">
        <v>3663.85</v>
      </c>
      <c r="J261" s="74">
        <v>3416</v>
      </c>
      <c r="K261" s="98"/>
      <c r="L261" s="89">
        <v>3338.25</v>
      </c>
      <c r="M261" s="78">
        <v>3583.4</v>
      </c>
      <c r="N261" s="72">
        <v>245.15</v>
      </c>
      <c r="O261" s="72">
        <v>7.34</v>
      </c>
      <c r="P261" s="76">
        <v>1415</v>
      </c>
      <c r="Q261" s="74">
        <v>3315.9</v>
      </c>
      <c r="R261" s="77"/>
    </row>
    <row r="262" spans="3:18" ht="42" thickBot="1">
      <c r="C262" s="72"/>
      <c r="D262" s="72" t="s">
        <v>0</v>
      </c>
      <c r="E262" s="73">
        <v>46140</v>
      </c>
      <c r="F262" s="72" t="s">
        <v>1</v>
      </c>
      <c r="G262" s="74">
        <v>27550</v>
      </c>
      <c r="H262" s="88">
        <v>0.4</v>
      </c>
      <c r="I262" s="72">
        <v>0.45</v>
      </c>
      <c r="J262" s="72">
        <v>0.3</v>
      </c>
      <c r="K262" s="97"/>
      <c r="L262" s="88">
        <v>0.45</v>
      </c>
      <c r="M262" s="75">
        <v>0.35</v>
      </c>
      <c r="N262" s="72">
        <v>-0.1</v>
      </c>
      <c r="O262" s="72">
        <v>-22.22</v>
      </c>
      <c r="P262" s="72">
        <v>498</v>
      </c>
      <c r="Q262" s="72">
        <v>0.11</v>
      </c>
      <c r="R262" s="77"/>
    </row>
    <row r="263" spans="3:18" ht="42" thickBot="1">
      <c r="C263" s="72"/>
      <c r="D263" s="72" t="s">
        <v>0</v>
      </c>
      <c r="E263" s="73">
        <v>46140</v>
      </c>
      <c r="F263" s="72" t="s">
        <v>20</v>
      </c>
      <c r="G263" s="74">
        <v>27550</v>
      </c>
      <c r="H263" s="89">
        <v>3403.35</v>
      </c>
      <c r="I263" s="74">
        <v>3605.7</v>
      </c>
      <c r="J263" s="74">
        <v>3403.35</v>
      </c>
      <c r="K263" s="98"/>
      <c r="L263" s="89">
        <v>3327.8</v>
      </c>
      <c r="M263" s="78">
        <v>3605.7</v>
      </c>
      <c r="N263" s="72">
        <v>277.89999999999998</v>
      </c>
      <c r="O263" s="72">
        <v>8.35</v>
      </c>
      <c r="P263" s="72">
        <v>2</v>
      </c>
      <c r="Q263" s="72">
        <v>4.5599999999999996</v>
      </c>
      <c r="R263" s="77"/>
    </row>
    <row r="264" spans="3:18" ht="42" thickBot="1">
      <c r="C264" s="72"/>
      <c r="D264" s="72" t="s">
        <v>0</v>
      </c>
      <c r="E264" s="73">
        <v>46140</v>
      </c>
      <c r="F264" s="72" t="s">
        <v>1</v>
      </c>
      <c r="G264" s="74">
        <v>27600</v>
      </c>
      <c r="H264" s="88">
        <v>0.35</v>
      </c>
      <c r="I264" s="72">
        <v>0.4</v>
      </c>
      <c r="J264" s="72">
        <v>0.3</v>
      </c>
      <c r="K264" s="97"/>
      <c r="L264" s="88">
        <v>0.4</v>
      </c>
      <c r="M264" s="75">
        <v>0.3</v>
      </c>
      <c r="N264" s="72">
        <v>-0.1</v>
      </c>
      <c r="O264" s="72">
        <v>-25</v>
      </c>
      <c r="P264" s="76">
        <v>1544</v>
      </c>
      <c r="Q264" s="72">
        <v>0.34</v>
      </c>
      <c r="R264" s="77"/>
    </row>
    <row r="265" spans="3:18" ht="42" thickBot="1">
      <c r="C265" s="72"/>
      <c r="D265" s="72" t="s">
        <v>0</v>
      </c>
      <c r="E265" s="73">
        <v>46140</v>
      </c>
      <c r="F265" s="72" t="s">
        <v>1</v>
      </c>
      <c r="G265" s="74">
        <v>27650</v>
      </c>
      <c r="H265" s="88">
        <v>0.35</v>
      </c>
      <c r="I265" s="72">
        <v>0.4</v>
      </c>
      <c r="J265" s="72">
        <v>0.25</v>
      </c>
      <c r="K265" s="97"/>
      <c r="L265" s="88">
        <v>0.45</v>
      </c>
      <c r="M265" s="75">
        <v>0.4</v>
      </c>
      <c r="N265" s="72">
        <v>-0.05</v>
      </c>
      <c r="O265" s="72">
        <v>-11.11</v>
      </c>
      <c r="P265" s="76">
        <v>3644</v>
      </c>
      <c r="Q265" s="72">
        <v>0.76</v>
      </c>
      <c r="R265" s="77"/>
    </row>
    <row r="266" spans="3:18" ht="42" thickBot="1">
      <c r="C266" s="72"/>
      <c r="D266" s="72" t="s">
        <v>0</v>
      </c>
      <c r="E266" s="73">
        <v>46140</v>
      </c>
      <c r="F266" s="72" t="s">
        <v>1</v>
      </c>
      <c r="G266" s="74">
        <v>27700</v>
      </c>
      <c r="H266" s="88">
        <v>0.45</v>
      </c>
      <c r="I266" s="72">
        <v>0.45</v>
      </c>
      <c r="J266" s="72">
        <v>0.3</v>
      </c>
      <c r="K266" s="97"/>
      <c r="L266" s="88">
        <v>0.4</v>
      </c>
      <c r="M266" s="75">
        <v>0.3</v>
      </c>
      <c r="N266" s="72">
        <v>-0.1</v>
      </c>
      <c r="O266" s="72">
        <v>-25</v>
      </c>
      <c r="P266" s="76">
        <v>17556</v>
      </c>
      <c r="Q266" s="72">
        <v>3.99</v>
      </c>
      <c r="R266" s="77"/>
    </row>
    <row r="267" spans="3:18" ht="42" thickBot="1">
      <c r="C267" s="72"/>
      <c r="D267" s="72" t="s">
        <v>0</v>
      </c>
      <c r="E267" s="73">
        <v>46140</v>
      </c>
      <c r="F267" s="72" t="s">
        <v>20</v>
      </c>
      <c r="G267" s="74">
        <v>27700</v>
      </c>
      <c r="H267" s="89">
        <v>3700</v>
      </c>
      <c r="I267" s="74">
        <v>3877.15</v>
      </c>
      <c r="J267" s="74">
        <v>3698.3</v>
      </c>
      <c r="K267" s="98"/>
      <c r="L267" s="89">
        <v>3535.6</v>
      </c>
      <c r="M267" s="78">
        <v>3774.8</v>
      </c>
      <c r="N267" s="72">
        <v>239.2</v>
      </c>
      <c r="O267" s="72">
        <v>6.77</v>
      </c>
      <c r="P267" s="72">
        <v>26</v>
      </c>
      <c r="Q267" s="72">
        <v>64.52</v>
      </c>
      <c r="R267" s="77"/>
    </row>
    <row r="268" spans="3:18" ht="15" thickBot="1">
      <c r="C268" s="72"/>
      <c r="D268" s="86"/>
      <c r="E268" s="86"/>
      <c r="F268" s="86"/>
      <c r="G268" s="86"/>
      <c r="H268" s="86"/>
      <c r="I268" s="86"/>
      <c r="J268" s="86"/>
      <c r="K268" s="86"/>
      <c r="L268" s="86"/>
      <c r="M268" s="86"/>
      <c r="N268" s="86"/>
      <c r="O268" s="86"/>
      <c r="P268" s="86"/>
      <c r="Q268" s="86"/>
      <c r="R268" s="86"/>
    </row>
    <row r="269" spans="3:18" ht="15" thickBot="1">
      <c r="C269" s="72"/>
      <c r="D269" s="86"/>
      <c r="E269" s="86"/>
      <c r="F269" s="86"/>
      <c r="G269" s="86"/>
      <c r="H269" s="86"/>
      <c r="I269" s="86"/>
      <c r="J269" s="86"/>
      <c r="K269" s="86"/>
      <c r="L269" s="86"/>
      <c r="M269" s="86"/>
      <c r="N269" s="86"/>
      <c r="O269" s="86"/>
      <c r="P269" s="86"/>
      <c r="Q269" s="86"/>
      <c r="R269" s="86"/>
    </row>
    <row r="270" spans="3:18" ht="15" thickBot="1">
      <c r="C270" s="72"/>
      <c r="D270" s="86"/>
      <c r="E270" s="86"/>
      <c r="F270" s="86"/>
      <c r="G270" s="86"/>
      <c r="H270" s="86"/>
      <c r="I270" s="86"/>
      <c r="J270" s="86"/>
      <c r="K270" s="86"/>
      <c r="L270" s="86"/>
      <c r="M270" s="86"/>
      <c r="N270" s="86"/>
      <c r="O270" s="86"/>
      <c r="P270" s="86"/>
      <c r="Q270" s="86"/>
      <c r="R270" s="86"/>
    </row>
    <row r="271" spans="3:18" ht="15" thickBot="1">
      <c r="C271" s="72"/>
      <c r="D271" s="86"/>
      <c r="E271" s="86"/>
      <c r="F271" s="86"/>
      <c r="G271" s="86"/>
      <c r="H271" s="86"/>
      <c r="I271" s="86"/>
      <c r="J271" s="86"/>
      <c r="K271" s="86"/>
      <c r="L271" s="86"/>
      <c r="M271" s="86"/>
      <c r="N271" s="86"/>
      <c r="O271" s="86"/>
      <c r="P271" s="86"/>
      <c r="Q271" s="86"/>
      <c r="R271" s="86"/>
    </row>
    <row r="272" spans="3:18" ht="15" thickBot="1">
      <c r="C272" s="72"/>
      <c r="D272" s="86"/>
      <c r="E272" s="86"/>
      <c r="F272" s="86"/>
      <c r="G272" s="86"/>
      <c r="H272" s="94"/>
      <c r="I272" s="86"/>
      <c r="J272" s="86"/>
      <c r="K272" s="99"/>
      <c r="L272" s="86"/>
      <c r="M272" s="86"/>
      <c r="N272" s="86"/>
      <c r="O272" s="86"/>
      <c r="P272" s="86"/>
      <c r="Q272" s="86"/>
      <c r="R272" s="86"/>
    </row>
    <row r="273" spans="3:17" ht="15" thickBot="1">
      <c r="C273" s="72"/>
      <c r="D273" s="86"/>
      <c r="E273" s="86"/>
      <c r="F273" s="86"/>
      <c r="G273" s="86"/>
      <c r="H273" s="94"/>
      <c r="I273" s="86"/>
      <c r="J273" s="86"/>
      <c r="K273" s="99"/>
      <c r="L273" s="86"/>
      <c r="M273" s="86"/>
      <c r="N273" s="86"/>
      <c r="O273" s="86"/>
      <c r="P273" s="86"/>
      <c r="Q273" s="86"/>
    </row>
  </sheetData>
  <autoFilter ref="D4:R4" xr:uid="{00000000-0009-0000-0000-000006000000}">
    <sortState xmlns:xlrd2="http://schemas.microsoft.com/office/spreadsheetml/2017/richdata2" ref="D5:R267">
      <sortCondition ref="G4"/>
    </sortState>
  </autoFilter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I37"/>
  <sheetViews>
    <sheetView zoomScale="70" zoomScaleNormal="70" workbookViewId="0">
      <selection activeCell="M6" sqref="M6"/>
    </sheetView>
  </sheetViews>
  <sheetFormatPr defaultRowHeight="14.4"/>
  <cols>
    <col min="1" max="1" width="10.6640625" customWidth="1"/>
    <col min="2" max="2" width="12.44140625" customWidth="1"/>
    <col min="3" max="3" width="10.6640625" customWidth="1"/>
    <col min="4" max="4" width="12.44140625" style="28" customWidth="1"/>
    <col min="5" max="8" width="10.6640625" style="28" customWidth="1"/>
    <col min="9" max="10" width="10.6640625" customWidth="1"/>
    <col min="11" max="11" width="13.109375" customWidth="1"/>
    <col min="12" max="12" width="12.6640625" customWidth="1"/>
    <col min="13" max="19" width="10.6640625" customWidth="1"/>
    <col min="20" max="20" width="14.6640625" customWidth="1"/>
    <col min="21" max="21" width="10.6640625" customWidth="1"/>
    <col min="23" max="23" width="9.109375" style="103"/>
    <col min="25" max="25" width="17.109375" customWidth="1"/>
    <col min="31" max="31" width="10.6640625" customWidth="1"/>
  </cols>
  <sheetData>
    <row r="1" spans="1:35" ht="43.2" customHeight="1">
      <c r="A1" s="44" t="s">
        <v>2</v>
      </c>
      <c r="B1" s="44" t="s">
        <v>4</v>
      </c>
      <c r="C1" s="44" t="s">
        <v>6</v>
      </c>
      <c r="D1" s="45" t="s">
        <v>7</v>
      </c>
      <c r="E1" s="45" t="s">
        <v>8</v>
      </c>
      <c r="F1" s="46" t="s">
        <v>9</v>
      </c>
      <c r="G1" s="47" t="s">
        <v>10</v>
      </c>
      <c r="H1" s="48" t="s">
        <v>11</v>
      </c>
      <c r="I1" s="22" t="s">
        <v>28</v>
      </c>
      <c r="J1" s="24" t="s">
        <v>21</v>
      </c>
      <c r="K1" s="25" t="s">
        <v>22</v>
      </c>
      <c r="L1" s="25" t="s">
        <v>23</v>
      </c>
      <c r="M1" s="25" t="s">
        <v>24</v>
      </c>
      <c r="N1" s="25" t="s">
        <v>25</v>
      </c>
      <c r="O1" s="23" t="s">
        <v>26</v>
      </c>
      <c r="P1" s="23" t="s">
        <v>27</v>
      </c>
      <c r="Q1" s="40" t="s">
        <v>33</v>
      </c>
      <c r="R1" s="40" t="s">
        <v>29</v>
      </c>
      <c r="S1" s="40" t="s">
        <v>30</v>
      </c>
      <c r="T1" s="40" t="s">
        <v>31</v>
      </c>
      <c r="U1" s="40" t="s">
        <v>32</v>
      </c>
      <c r="AA1" s="108" t="s">
        <v>42</v>
      </c>
      <c r="AB1" s="108" t="s">
        <v>41</v>
      </c>
      <c r="AC1" s="85" t="s">
        <v>40</v>
      </c>
      <c r="AD1" s="85" t="s">
        <v>39</v>
      </c>
      <c r="AE1" s="107" t="s">
        <v>36</v>
      </c>
      <c r="AF1" s="107" t="s">
        <v>43</v>
      </c>
      <c r="AG1" s="107" t="s">
        <v>44</v>
      </c>
      <c r="AH1" s="107" t="s">
        <v>45</v>
      </c>
      <c r="AI1" s="107" t="s">
        <v>46</v>
      </c>
    </row>
    <row r="2" spans="1:35" ht="28.2" thickBot="1">
      <c r="A2" s="72" t="s">
        <v>0</v>
      </c>
      <c r="B2" s="73">
        <v>46161</v>
      </c>
      <c r="C2" s="72" t="s">
        <v>20</v>
      </c>
      <c r="D2" s="74">
        <v>23250</v>
      </c>
      <c r="E2" s="72">
        <v>37.65</v>
      </c>
      <c r="F2" s="72">
        <v>58.6</v>
      </c>
      <c r="G2" s="72">
        <v>25.2</v>
      </c>
      <c r="H2" s="97">
        <v>42.65</v>
      </c>
      <c r="I2" s="43">
        <f>(H2+H3)/2</f>
        <v>235.07499999999999</v>
      </c>
      <c r="Q2" s="12">
        <f>(H2/4)</f>
        <v>10.6625</v>
      </c>
      <c r="R2" s="12"/>
      <c r="S2" s="12"/>
      <c r="T2" s="12"/>
      <c r="U2" s="12"/>
      <c r="V2" s="41">
        <v>1</v>
      </c>
    </row>
    <row r="3" spans="1:35" ht="28.2" thickBot="1">
      <c r="A3" s="72" t="s">
        <v>0</v>
      </c>
      <c r="B3" s="73">
        <v>46161</v>
      </c>
      <c r="C3" s="72" t="s">
        <v>1</v>
      </c>
      <c r="D3" s="74">
        <v>23250</v>
      </c>
      <c r="E3" s="72">
        <v>506.45</v>
      </c>
      <c r="F3" s="72">
        <v>627</v>
      </c>
      <c r="G3" s="72">
        <v>385</v>
      </c>
      <c r="H3" s="97">
        <v>427.5</v>
      </c>
      <c r="I3" s="43">
        <f>(H2+H3)/2</f>
        <v>235.07499999999999</v>
      </c>
      <c r="Q3" s="12">
        <f>(H3)/4</f>
        <v>106.875</v>
      </c>
      <c r="R3" s="12">
        <f>((H3/100)*90)</f>
        <v>384.75000000000006</v>
      </c>
      <c r="S3" s="12">
        <f>(H3-R3)</f>
        <v>42.749999999999943</v>
      </c>
      <c r="T3" s="12">
        <f>((H3/100)*99)</f>
        <v>423.22500000000002</v>
      </c>
      <c r="U3" s="12">
        <f>(H3-T3)</f>
        <v>4.2749999999999773</v>
      </c>
      <c r="V3" s="41">
        <v>2</v>
      </c>
    </row>
    <row r="4" spans="1:35" ht="28.2" thickBot="1">
      <c r="A4" s="72" t="s">
        <v>0</v>
      </c>
      <c r="B4" s="73">
        <v>46161</v>
      </c>
      <c r="C4" s="72" t="s">
        <v>20</v>
      </c>
      <c r="D4" s="74">
        <v>23300</v>
      </c>
      <c r="E4" s="72">
        <v>44.9</v>
      </c>
      <c r="F4" s="72">
        <v>69.95</v>
      </c>
      <c r="G4" s="72">
        <v>30</v>
      </c>
      <c r="H4" s="97">
        <v>51.35</v>
      </c>
      <c r="I4" s="43">
        <f>(H4+H5)/2</f>
        <v>220.4</v>
      </c>
      <c r="Q4" s="12">
        <f>(H4/4)</f>
        <v>12.8375</v>
      </c>
      <c r="R4" s="12">
        <f t="shared" ref="R4:R37" si="0">((H4/100)*90)</f>
        <v>46.215000000000003</v>
      </c>
      <c r="S4" s="12">
        <f t="shared" ref="S4:S37" si="1">(H4-R4)</f>
        <v>5.134999999999998</v>
      </c>
      <c r="T4" s="12">
        <f t="shared" ref="T4:T37" si="2">((H4/100)*99)</f>
        <v>50.836500000000008</v>
      </c>
      <c r="U4" s="12">
        <f t="shared" ref="U4:U37" si="3">(H4-T4)</f>
        <v>0.51349999999999341</v>
      </c>
      <c r="V4" s="41">
        <v>3</v>
      </c>
    </row>
    <row r="5" spans="1:35" ht="28.2" thickBot="1">
      <c r="A5" s="72" t="s">
        <v>0</v>
      </c>
      <c r="B5" s="73">
        <v>46161</v>
      </c>
      <c r="C5" s="72" t="s">
        <v>1</v>
      </c>
      <c r="D5" s="74">
        <v>23300</v>
      </c>
      <c r="E5" s="72">
        <v>512</v>
      </c>
      <c r="F5" s="72">
        <v>577.1</v>
      </c>
      <c r="G5" s="72">
        <v>345.25</v>
      </c>
      <c r="H5" s="97">
        <v>389.45</v>
      </c>
      <c r="I5" s="43">
        <f>(H4+H5)/2</f>
        <v>220.4</v>
      </c>
      <c r="Q5" s="12">
        <f>(H5)/4</f>
        <v>97.362499999999997</v>
      </c>
      <c r="R5" s="12">
        <f t="shared" si="0"/>
        <v>350.505</v>
      </c>
      <c r="S5" s="12">
        <f t="shared" si="1"/>
        <v>38.944999999999993</v>
      </c>
      <c r="T5" s="12">
        <f t="shared" si="2"/>
        <v>385.55549999999999</v>
      </c>
      <c r="U5" s="12">
        <f t="shared" si="3"/>
        <v>3.8944999999999936</v>
      </c>
      <c r="V5" s="41">
        <v>4</v>
      </c>
    </row>
    <row r="6" spans="1:35" ht="28.2" thickBot="1">
      <c r="A6" s="72" t="s">
        <v>0</v>
      </c>
      <c r="B6" s="73">
        <v>46161</v>
      </c>
      <c r="C6" s="72" t="s">
        <v>20</v>
      </c>
      <c r="D6" s="74">
        <v>23350</v>
      </c>
      <c r="E6" s="72">
        <v>50.25</v>
      </c>
      <c r="F6" s="72">
        <v>82.45</v>
      </c>
      <c r="G6" s="72">
        <v>35.299999999999997</v>
      </c>
      <c r="H6" s="97">
        <v>61.25</v>
      </c>
      <c r="I6" s="43">
        <f>(H6+H7)/2</f>
        <v>202.1</v>
      </c>
      <c r="Q6" s="12">
        <f>(H6/4)</f>
        <v>15.3125</v>
      </c>
      <c r="R6" s="12">
        <f t="shared" si="0"/>
        <v>55.125000000000007</v>
      </c>
      <c r="S6" s="12">
        <f t="shared" si="1"/>
        <v>6.1249999999999929</v>
      </c>
      <c r="T6" s="12">
        <f t="shared" si="2"/>
        <v>60.637500000000003</v>
      </c>
      <c r="U6" s="12">
        <f t="shared" si="3"/>
        <v>0.61249999999999716</v>
      </c>
      <c r="V6" s="41">
        <v>5</v>
      </c>
    </row>
    <row r="7" spans="1:35" ht="28.2" thickBot="1">
      <c r="A7" s="72" t="s">
        <v>0</v>
      </c>
      <c r="B7" s="73">
        <v>46161</v>
      </c>
      <c r="C7" s="72" t="s">
        <v>1</v>
      </c>
      <c r="D7" s="74">
        <v>23350</v>
      </c>
      <c r="E7" s="72">
        <v>416.75</v>
      </c>
      <c r="F7" s="72">
        <v>535</v>
      </c>
      <c r="G7" s="72">
        <v>306.60000000000002</v>
      </c>
      <c r="H7" s="97">
        <v>342.95</v>
      </c>
      <c r="I7" s="43">
        <f>(H6+H7)/2</f>
        <v>202.1</v>
      </c>
      <c r="Q7" s="12">
        <f>(H7)/4</f>
        <v>85.737499999999997</v>
      </c>
      <c r="R7" s="12">
        <f t="shared" si="0"/>
        <v>308.65499999999997</v>
      </c>
      <c r="S7" s="12">
        <f t="shared" si="1"/>
        <v>34.295000000000016</v>
      </c>
      <c r="T7" s="12">
        <f t="shared" si="2"/>
        <v>339.52050000000003</v>
      </c>
      <c r="U7" s="12">
        <f t="shared" si="3"/>
        <v>3.4294999999999618</v>
      </c>
      <c r="V7" s="41">
        <v>6</v>
      </c>
      <c r="X7" s="109" t="s">
        <v>1</v>
      </c>
      <c r="Y7" s="109" t="s">
        <v>37</v>
      </c>
      <c r="Z7" s="109" t="s">
        <v>38</v>
      </c>
    </row>
    <row r="8" spans="1:35" ht="28.2" thickBot="1">
      <c r="A8" s="72" t="s">
        <v>0</v>
      </c>
      <c r="B8" s="73">
        <v>46161</v>
      </c>
      <c r="C8" s="72" t="s">
        <v>20</v>
      </c>
      <c r="D8" s="74">
        <v>23400</v>
      </c>
      <c r="E8" s="72">
        <v>62</v>
      </c>
      <c r="F8" s="72">
        <v>97.15</v>
      </c>
      <c r="G8" s="72">
        <v>41.7</v>
      </c>
      <c r="H8" s="97">
        <v>73.95</v>
      </c>
      <c r="I8" s="30">
        <f>(H8+H9)/2</f>
        <v>188.625</v>
      </c>
      <c r="J8" s="30">
        <f>(H13+H4)/2</f>
        <v>143.30000000000001</v>
      </c>
      <c r="K8" s="26">
        <f>(H10+H7)/2</f>
        <v>215.27499999999998</v>
      </c>
      <c r="L8" s="26">
        <f>(H12+H5)/2</f>
        <v>246.57499999999999</v>
      </c>
      <c r="M8" s="26">
        <f>(H14+H3)/2</f>
        <v>274.97500000000002</v>
      </c>
      <c r="N8" s="26"/>
      <c r="O8" s="26">
        <f>(H15+H2)/2</f>
        <v>123.425</v>
      </c>
      <c r="P8" s="37"/>
      <c r="Q8" s="12">
        <f>(H8/4)</f>
        <v>18.487500000000001</v>
      </c>
      <c r="R8" s="12">
        <f t="shared" si="0"/>
        <v>66.555000000000007</v>
      </c>
      <c r="S8" s="12">
        <f t="shared" si="1"/>
        <v>7.394999999999996</v>
      </c>
      <c r="T8" s="12">
        <f t="shared" si="2"/>
        <v>73.21050000000001</v>
      </c>
      <c r="U8" s="12">
        <f t="shared" si="3"/>
        <v>0.7394999999999925</v>
      </c>
      <c r="V8" s="41">
        <v>7</v>
      </c>
      <c r="Y8" s="113">
        <f>D8</f>
        <v>23400</v>
      </c>
      <c r="Z8">
        <f>H8</f>
        <v>73.95</v>
      </c>
      <c r="AA8" s="12"/>
      <c r="AB8" s="12"/>
      <c r="AC8" s="111">
        <f>J8</f>
        <v>143.30000000000001</v>
      </c>
      <c r="AD8" s="14">
        <f>(H6+H11)/2</f>
        <v>165.27500000000001</v>
      </c>
      <c r="AE8" s="13">
        <f>I8</f>
        <v>188.625</v>
      </c>
      <c r="AF8" s="114">
        <f t="shared" ref="AF8:AI9" si="4">K8</f>
        <v>215.27499999999998</v>
      </c>
      <c r="AG8" s="115">
        <f t="shared" si="4"/>
        <v>246.57499999999999</v>
      </c>
      <c r="AH8" s="116">
        <f t="shared" si="4"/>
        <v>274.97500000000002</v>
      </c>
      <c r="AI8" s="117">
        <f t="shared" si="4"/>
        <v>0</v>
      </c>
    </row>
    <row r="9" spans="1:35" ht="28.2" thickBot="1">
      <c r="A9" s="72" t="s">
        <v>0</v>
      </c>
      <c r="B9" s="73">
        <v>46161</v>
      </c>
      <c r="C9" s="72" t="s">
        <v>1</v>
      </c>
      <c r="D9" s="74">
        <v>23400</v>
      </c>
      <c r="E9" s="72">
        <v>423.15</v>
      </c>
      <c r="F9" s="72">
        <v>492.85</v>
      </c>
      <c r="G9" s="72">
        <v>271.2</v>
      </c>
      <c r="H9" s="97">
        <v>303.3</v>
      </c>
      <c r="I9" s="30">
        <f>(H8+H9)/2</f>
        <v>188.625</v>
      </c>
      <c r="J9" s="30">
        <f>(H13+H4)/2</f>
        <v>143.30000000000001</v>
      </c>
      <c r="K9" s="26">
        <f>(H10+H7)/2</f>
        <v>215.27499999999998</v>
      </c>
      <c r="L9" s="26">
        <f>(H12+H5)/2</f>
        <v>246.57499999999999</v>
      </c>
      <c r="M9" s="26">
        <f>(H14+H3)/2</f>
        <v>274.97500000000002</v>
      </c>
      <c r="N9" s="26"/>
      <c r="O9" s="26">
        <f>(H15+H2)/2</f>
        <v>123.425</v>
      </c>
      <c r="P9" s="37"/>
      <c r="Q9" s="12">
        <f>(H9)/4</f>
        <v>75.825000000000003</v>
      </c>
      <c r="R9" s="12">
        <f t="shared" si="0"/>
        <v>272.96999999999997</v>
      </c>
      <c r="S9" s="12">
        <f t="shared" si="1"/>
        <v>30.330000000000041</v>
      </c>
      <c r="T9" s="12">
        <f t="shared" si="2"/>
        <v>300.267</v>
      </c>
      <c r="U9" s="12">
        <f t="shared" si="3"/>
        <v>3.0330000000000155</v>
      </c>
      <c r="V9" s="41">
        <v>8</v>
      </c>
      <c r="X9">
        <f>H9</f>
        <v>303.3</v>
      </c>
      <c r="Y9" s="113">
        <f>D9</f>
        <v>23400</v>
      </c>
      <c r="AA9" s="12"/>
      <c r="AB9" s="12"/>
      <c r="AC9" s="111">
        <f>J9</f>
        <v>143.30000000000001</v>
      </c>
      <c r="AD9" s="14">
        <f>(H6+H11)/2</f>
        <v>165.27500000000001</v>
      </c>
      <c r="AE9" s="13">
        <f>I9</f>
        <v>188.625</v>
      </c>
      <c r="AF9" s="114">
        <f t="shared" si="4"/>
        <v>215.27499999999998</v>
      </c>
      <c r="AG9" s="115">
        <f t="shared" si="4"/>
        <v>246.57499999999999</v>
      </c>
      <c r="AH9" s="116">
        <f t="shared" si="4"/>
        <v>274.97500000000002</v>
      </c>
      <c r="AI9" s="117">
        <f t="shared" si="4"/>
        <v>0</v>
      </c>
    </row>
    <row r="10" spans="1:35" ht="28.2" thickBot="1">
      <c r="A10" s="72" t="s">
        <v>0</v>
      </c>
      <c r="B10" s="73">
        <v>46161</v>
      </c>
      <c r="C10" s="72" t="s">
        <v>20</v>
      </c>
      <c r="D10" s="74">
        <v>23450</v>
      </c>
      <c r="E10" s="72">
        <v>72.150000000000006</v>
      </c>
      <c r="F10" s="72">
        <v>115</v>
      </c>
      <c r="G10" s="72">
        <v>49</v>
      </c>
      <c r="H10" s="97">
        <v>87.6</v>
      </c>
      <c r="I10" s="30">
        <f>(H10+H11)/2</f>
        <v>178.45</v>
      </c>
      <c r="J10" s="30">
        <f>(H15+H6)/2</f>
        <v>132.72499999999999</v>
      </c>
      <c r="K10" s="26">
        <f>(H12+H9)/2</f>
        <v>203.5</v>
      </c>
      <c r="L10" s="26">
        <f>(H14+H7)/2</f>
        <v>232.7</v>
      </c>
      <c r="M10" s="26">
        <f>(H16+H5)/2</f>
        <v>266.32499999999999</v>
      </c>
      <c r="N10" s="26">
        <f>(H18+H3)/2</f>
        <v>297.10000000000002</v>
      </c>
      <c r="O10" s="26">
        <f>(H17+H4)/2</f>
        <v>113.45</v>
      </c>
      <c r="P10" s="37">
        <f>(H19+H2)/2</f>
        <v>96.5</v>
      </c>
      <c r="Q10" s="12">
        <f>(H10/4)</f>
        <v>21.9</v>
      </c>
      <c r="R10" s="12">
        <f t="shared" si="0"/>
        <v>78.839999999999989</v>
      </c>
      <c r="S10" s="12">
        <f t="shared" si="1"/>
        <v>8.7600000000000051</v>
      </c>
      <c r="T10" s="12">
        <f t="shared" si="2"/>
        <v>86.72399999999999</v>
      </c>
      <c r="U10" s="12">
        <f t="shared" si="3"/>
        <v>0.87600000000000477</v>
      </c>
      <c r="V10" s="41">
        <v>9</v>
      </c>
      <c r="Y10" s="112">
        <f t="shared" ref="Y10:Y31" si="5">D10</f>
        <v>23450</v>
      </c>
      <c r="Z10">
        <f>H10</f>
        <v>87.6</v>
      </c>
      <c r="AA10" s="12"/>
      <c r="AB10" s="12"/>
      <c r="AC10" s="111">
        <f t="shared" ref="AC10:AC31" si="6">J10</f>
        <v>132.72499999999999</v>
      </c>
      <c r="AD10" s="14">
        <f>(H8+H13)/2</f>
        <v>154.6</v>
      </c>
      <c r="AE10" s="13">
        <f t="shared" ref="AE10:AE31" si="7">I10</f>
        <v>178.45</v>
      </c>
      <c r="AF10" s="114">
        <f t="shared" ref="AF10:AI31" si="8">K10</f>
        <v>203.5</v>
      </c>
      <c r="AG10" s="115">
        <f t="shared" si="8"/>
        <v>232.7</v>
      </c>
      <c r="AH10" s="116">
        <f t="shared" si="8"/>
        <v>266.32499999999999</v>
      </c>
      <c r="AI10" s="117">
        <f>N10</f>
        <v>297.10000000000002</v>
      </c>
    </row>
    <row r="11" spans="1:35" ht="28.2" thickBot="1">
      <c r="A11" s="72" t="s">
        <v>0</v>
      </c>
      <c r="B11" s="73">
        <v>46161</v>
      </c>
      <c r="C11" s="72" t="s">
        <v>1</v>
      </c>
      <c r="D11" s="74">
        <v>23450</v>
      </c>
      <c r="E11" s="72">
        <v>350</v>
      </c>
      <c r="F11" s="72">
        <v>449</v>
      </c>
      <c r="G11" s="72">
        <v>237.75</v>
      </c>
      <c r="H11" s="97">
        <v>269.3</v>
      </c>
      <c r="I11" s="30">
        <f>(H10+H11)/2</f>
        <v>178.45</v>
      </c>
      <c r="J11" s="30">
        <f>(H15+H6)/2</f>
        <v>132.72499999999999</v>
      </c>
      <c r="K11" s="26">
        <f>(H12+H9)/2</f>
        <v>203.5</v>
      </c>
      <c r="L11" s="26">
        <f>(H14+H7)/2</f>
        <v>232.7</v>
      </c>
      <c r="M11" s="26">
        <f>(H16+H5)/2</f>
        <v>266.32499999999999</v>
      </c>
      <c r="N11" s="26">
        <f>(H18+H3)/2</f>
        <v>297.10000000000002</v>
      </c>
      <c r="O11" s="26">
        <f>(H17+H4)/2</f>
        <v>113.45</v>
      </c>
      <c r="P11" s="37">
        <f>(H19+H2)/2</f>
        <v>96.5</v>
      </c>
      <c r="Q11" s="12">
        <f>(H11)/4</f>
        <v>67.325000000000003</v>
      </c>
      <c r="R11" s="12">
        <f t="shared" si="0"/>
        <v>242.37</v>
      </c>
      <c r="S11" s="12">
        <f t="shared" si="1"/>
        <v>26.930000000000007</v>
      </c>
      <c r="T11" s="12">
        <f t="shared" si="2"/>
        <v>266.60700000000003</v>
      </c>
      <c r="U11" s="12">
        <f t="shared" si="3"/>
        <v>2.6929999999999836</v>
      </c>
      <c r="V11" s="41">
        <v>10</v>
      </c>
      <c r="X11">
        <f>H11</f>
        <v>269.3</v>
      </c>
      <c r="Y11" s="112">
        <f t="shared" si="5"/>
        <v>23450</v>
      </c>
      <c r="AA11" s="12"/>
      <c r="AB11" s="12"/>
      <c r="AC11" s="111">
        <f t="shared" si="6"/>
        <v>132.72499999999999</v>
      </c>
      <c r="AD11" s="14">
        <f>(H8+H13)/2</f>
        <v>154.6</v>
      </c>
      <c r="AE11" s="13">
        <f t="shared" si="7"/>
        <v>178.45</v>
      </c>
      <c r="AF11" s="114">
        <f t="shared" si="8"/>
        <v>203.5</v>
      </c>
      <c r="AG11" s="115">
        <f t="shared" si="8"/>
        <v>232.7</v>
      </c>
      <c r="AH11" s="116">
        <f t="shared" si="8"/>
        <v>266.32499999999999</v>
      </c>
      <c r="AI11" s="117">
        <f t="shared" si="8"/>
        <v>297.10000000000002</v>
      </c>
    </row>
    <row r="12" spans="1:35" ht="28.2" thickBot="1">
      <c r="A12" s="72" t="s">
        <v>0</v>
      </c>
      <c r="B12" s="73">
        <v>46161</v>
      </c>
      <c r="C12" s="72" t="s">
        <v>20</v>
      </c>
      <c r="D12" s="74">
        <v>23500</v>
      </c>
      <c r="E12" s="72">
        <v>79.7</v>
      </c>
      <c r="F12" s="72">
        <v>133</v>
      </c>
      <c r="G12" s="72">
        <v>57.65</v>
      </c>
      <c r="H12" s="97">
        <v>103.7</v>
      </c>
      <c r="I12" s="30">
        <f>(H12+H13)/2</f>
        <v>169.47499999999999</v>
      </c>
      <c r="J12" s="30">
        <f>(H17+H8)/2</f>
        <v>124.75</v>
      </c>
      <c r="K12" s="26">
        <f>(H14+H11)/2</f>
        <v>195.875</v>
      </c>
      <c r="L12" s="26">
        <f>(H16+H9)/2</f>
        <v>223.25</v>
      </c>
      <c r="M12" s="26">
        <f>(H18+H7)/2</f>
        <v>254.82499999999999</v>
      </c>
      <c r="N12" s="26">
        <f>(H20+H5)/2</f>
        <v>290.77499999999998</v>
      </c>
      <c r="O12" s="26">
        <f>(H19+H6)/2</f>
        <v>105.8</v>
      </c>
      <c r="P12" s="37">
        <f>(H21+H4)/2</f>
        <v>89.05</v>
      </c>
      <c r="Q12" s="12">
        <f>(H12/4)</f>
        <v>25.925000000000001</v>
      </c>
      <c r="R12" s="12">
        <f t="shared" si="0"/>
        <v>93.33</v>
      </c>
      <c r="S12" s="12">
        <f t="shared" si="1"/>
        <v>10.370000000000005</v>
      </c>
      <c r="T12" s="12">
        <f t="shared" si="2"/>
        <v>102.663</v>
      </c>
      <c r="U12" s="12">
        <f t="shared" si="3"/>
        <v>1.0370000000000061</v>
      </c>
      <c r="V12" s="41">
        <v>11</v>
      </c>
      <c r="Y12" s="104">
        <f t="shared" si="5"/>
        <v>23500</v>
      </c>
      <c r="Z12">
        <f>H12</f>
        <v>103.7</v>
      </c>
      <c r="AA12" s="12"/>
      <c r="AB12" s="12"/>
      <c r="AC12" s="111">
        <f t="shared" si="6"/>
        <v>124.75</v>
      </c>
      <c r="AD12" s="14">
        <f t="shared" ref="AD12" si="9">(H10+H15)/2</f>
        <v>145.89999999999998</v>
      </c>
      <c r="AE12" s="13">
        <f t="shared" si="7"/>
        <v>169.47499999999999</v>
      </c>
      <c r="AF12" s="114">
        <f t="shared" si="8"/>
        <v>195.875</v>
      </c>
      <c r="AG12" s="115">
        <f t="shared" si="8"/>
        <v>223.25</v>
      </c>
      <c r="AH12" s="116">
        <f t="shared" si="8"/>
        <v>254.82499999999999</v>
      </c>
      <c r="AI12" s="117">
        <f t="shared" si="8"/>
        <v>290.77499999999998</v>
      </c>
    </row>
    <row r="13" spans="1:35" ht="28.2" thickBot="1">
      <c r="A13" s="72" t="s">
        <v>0</v>
      </c>
      <c r="B13" s="73">
        <v>46161</v>
      </c>
      <c r="C13" s="72" t="s">
        <v>1</v>
      </c>
      <c r="D13" s="74">
        <v>23500</v>
      </c>
      <c r="E13" s="72">
        <v>324.85000000000002</v>
      </c>
      <c r="F13" s="72">
        <v>407.65</v>
      </c>
      <c r="G13" s="72">
        <v>206.3</v>
      </c>
      <c r="H13" s="97">
        <v>235.25</v>
      </c>
      <c r="I13" s="30">
        <f>(H12+H13)/2</f>
        <v>169.47499999999999</v>
      </c>
      <c r="J13" s="30">
        <f>(H17+H8)/2</f>
        <v>124.75</v>
      </c>
      <c r="K13" s="26">
        <f>(H14+H11)/2</f>
        <v>195.875</v>
      </c>
      <c r="L13" s="26">
        <f>(H16+H9)/2</f>
        <v>223.25</v>
      </c>
      <c r="M13" s="26">
        <f>(H18+H7)/2</f>
        <v>254.82499999999999</v>
      </c>
      <c r="N13" s="26">
        <f>(H20+H5)/2</f>
        <v>290.77499999999998</v>
      </c>
      <c r="O13" s="26">
        <f>(H19+H6)/2</f>
        <v>105.8</v>
      </c>
      <c r="P13" s="37">
        <f>(H21+H4)/2</f>
        <v>89.05</v>
      </c>
      <c r="Q13" s="12">
        <f>(H13)/4</f>
        <v>58.8125</v>
      </c>
      <c r="R13" s="12">
        <f t="shared" si="0"/>
        <v>211.72499999999999</v>
      </c>
      <c r="S13" s="12">
        <f t="shared" si="1"/>
        <v>23.525000000000006</v>
      </c>
      <c r="T13" s="12">
        <f t="shared" si="2"/>
        <v>232.89750000000001</v>
      </c>
      <c r="U13" s="12">
        <f t="shared" si="3"/>
        <v>2.352499999999992</v>
      </c>
      <c r="V13" s="41">
        <v>12</v>
      </c>
      <c r="X13">
        <f>H13</f>
        <v>235.25</v>
      </c>
      <c r="Y13" s="104">
        <f t="shared" si="5"/>
        <v>23500</v>
      </c>
      <c r="AA13" s="12"/>
      <c r="AB13" s="12"/>
      <c r="AC13" s="111">
        <f t="shared" si="6"/>
        <v>124.75</v>
      </c>
      <c r="AD13" s="14">
        <f t="shared" ref="AD13" si="10">(H10+H15)/2</f>
        <v>145.89999999999998</v>
      </c>
      <c r="AE13" s="13">
        <f t="shared" si="7"/>
        <v>169.47499999999999</v>
      </c>
      <c r="AF13" s="114">
        <f t="shared" si="8"/>
        <v>195.875</v>
      </c>
      <c r="AG13" s="115">
        <f t="shared" si="8"/>
        <v>223.25</v>
      </c>
      <c r="AH13" s="116">
        <f t="shared" si="8"/>
        <v>254.82499999999999</v>
      </c>
      <c r="AI13" s="117">
        <f t="shared" si="8"/>
        <v>290.77499999999998</v>
      </c>
    </row>
    <row r="14" spans="1:35" ht="28.2" thickBot="1">
      <c r="A14" s="72" t="s">
        <v>0</v>
      </c>
      <c r="B14" s="73">
        <v>46161</v>
      </c>
      <c r="C14" s="72" t="s">
        <v>20</v>
      </c>
      <c r="D14" s="74">
        <v>23550</v>
      </c>
      <c r="E14" s="72">
        <v>116.85</v>
      </c>
      <c r="F14" s="72">
        <v>154.4</v>
      </c>
      <c r="G14" s="72">
        <v>67.55</v>
      </c>
      <c r="H14" s="97">
        <v>122.45</v>
      </c>
      <c r="I14" s="30">
        <f>(H14+H15)/2</f>
        <v>163.32499999999999</v>
      </c>
      <c r="J14" s="30">
        <f>(H19+H10)/2</f>
        <v>118.97499999999999</v>
      </c>
      <c r="K14" s="26">
        <f>(H16+H13)/2</f>
        <v>189.22499999999999</v>
      </c>
      <c r="L14" s="26">
        <f>(H18+H11)/2</f>
        <v>218</v>
      </c>
      <c r="M14" s="26">
        <f>(H20+H9)/2</f>
        <v>247.7</v>
      </c>
      <c r="N14" s="26">
        <f>(H23+H7)/2</f>
        <v>282.47500000000002</v>
      </c>
      <c r="O14" s="26">
        <f>(H21+H8)/2</f>
        <v>100.35</v>
      </c>
      <c r="P14" s="37">
        <f>(H22+H6)/2</f>
        <v>83.375</v>
      </c>
      <c r="Q14" s="12">
        <f>(H14/4)</f>
        <v>30.612500000000001</v>
      </c>
      <c r="R14" s="12">
        <f t="shared" si="0"/>
        <v>110.205</v>
      </c>
      <c r="S14" s="12">
        <f t="shared" si="1"/>
        <v>12.245000000000005</v>
      </c>
      <c r="T14" s="12">
        <f t="shared" si="2"/>
        <v>121.2255</v>
      </c>
      <c r="U14" s="12">
        <f t="shared" si="3"/>
        <v>1.2245000000000061</v>
      </c>
      <c r="V14" s="41">
        <v>13</v>
      </c>
      <c r="Y14" s="104">
        <f t="shared" si="5"/>
        <v>23550</v>
      </c>
      <c r="Z14">
        <f>H14</f>
        <v>122.45</v>
      </c>
      <c r="AA14" s="12"/>
      <c r="AB14" s="12"/>
      <c r="AC14" s="111">
        <f t="shared" si="6"/>
        <v>118.97499999999999</v>
      </c>
      <c r="AD14" s="14">
        <f t="shared" ref="AD14" si="11">(H12+H17)/2</f>
        <v>139.625</v>
      </c>
      <c r="AE14" s="13">
        <f t="shared" si="7"/>
        <v>163.32499999999999</v>
      </c>
      <c r="AF14" s="114">
        <f t="shared" si="8"/>
        <v>189.22499999999999</v>
      </c>
      <c r="AG14" s="115">
        <f t="shared" si="8"/>
        <v>218</v>
      </c>
      <c r="AH14" s="116">
        <f t="shared" si="8"/>
        <v>247.7</v>
      </c>
      <c r="AI14" s="117">
        <f t="shared" si="8"/>
        <v>282.47500000000002</v>
      </c>
    </row>
    <row r="15" spans="1:35" ht="28.2" thickBot="1">
      <c r="A15" s="72" t="s">
        <v>0</v>
      </c>
      <c r="B15" s="73">
        <v>46161</v>
      </c>
      <c r="C15" s="72" t="s">
        <v>1</v>
      </c>
      <c r="D15" s="74">
        <v>23550</v>
      </c>
      <c r="E15" s="72">
        <v>299.5</v>
      </c>
      <c r="F15" s="72">
        <v>369</v>
      </c>
      <c r="G15" s="72">
        <v>177.15</v>
      </c>
      <c r="H15" s="97">
        <v>204.2</v>
      </c>
      <c r="I15" s="30">
        <f>(H14+H15)/2</f>
        <v>163.32499999999999</v>
      </c>
      <c r="J15" s="30">
        <f>(H19+H10)/2</f>
        <v>118.97499999999999</v>
      </c>
      <c r="K15" s="26">
        <f>(H16+H13)/2</f>
        <v>189.22499999999999</v>
      </c>
      <c r="L15" s="26">
        <f>(H18+H11)/2</f>
        <v>218</v>
      </c>
      <c r="M15" s="26">
        <f>(H20+H9)/2</f>
        <v>247.7</v>
      </c>
      <c r="N15" s="26">
        <f>(H23+H7)/2</f>
        <v>282.47500000000002</v>
      </c>
      <c r="O15" s="26">
        <f>(H21+H8)/2</f>
        <v>100.35</v>
      </c>
      <c r="P15" s="37">
        <f>(H22+H6)/2</f>
        <v>83.375</v>
      </c>
      <c r="Q15" s="12">
        <f>(H15)/4</f>
        <v>51.05</v>
      </c>
      <c r="R15" s="12">
        <f t="shared" si="0"/>
        <v>183.77999999999997</v>
      </c>
      <c r="S15" s="12">
        <f t="shared" si="1"/>
        <v>20.420000000000016</v>
      </c>
      <c r="T15" s="12">
        <f t="shared" si="2"/>
        <v>202.15799999999999</v>
      </c>
      <c r="U15" s="12">
        <f t="shared" si="3"/>
        <v>2.0420000000000016</v>
      </c>
      <c r="V15" s="41">
        <v>14</v>
      </c>
      <c r="X15">
        <f>H15</f>
        <v>204.2</v>
      </c>
      <c r="Y15" s="104">
        <f t="shared" si="5"/>
        <v>23550</v>
      </c>
      <c r="AA15" s="12"/>
      <c r="AB15" s="12"/>
      <c r="AC15" s="111">
        <f t="shared" si="6"/>
        <v>118.97499999999999</v>
      </c>
      <c r="AD15" s="14">
        <f t="shared" ref="AD15" si="12">(H12+H17)/2</f>
        <v>139.625</v>
      </c>
      <c r="AE15" s="13">
        <f t="shared" si="7"/>
        <v>163.32499999999999</v>
      </c>
      <c r="AF15" s="114">
        <f t="shared" si="8"/>
        <v>189.22499999999999</v>
      </c>
      <c r="AG15" s="115">
        <f t="shared" si="8"/>
        <v>218</v>
      </c>
      <c r="AH15" s="116">
        <f t="shared" si="8"/>
        <v>247.7</v>
      </c>
      <c r="AI15" s="117">
        <f t="shared" si="8"/>
        <v>282.47500000000002</v>
      </c>
    </row>
    <row r="16" spans="1:35" ht="28.2" thickBot="1">
      <c r="A16" s="72" t="s">
        <v>0</v>
      </c>
      <c r="B16" s="73">
        <v>46161</v>
      </c>
      <c r="C16" s="72" t="s">
        <v>20</v>
      </c>
      <c r="D16" s="74">
        <v>23600</v>
      </c>
      <c r="E16" s="72">
        <v>125</v>
      </c>
      <c r="F16" s="72">
        <v>177.75</v>
      </c>
      <c r="G16" s="72">
        <v>79.3</v>
      </c>
      <c r="H16" s="97">
        <v>143.19999999999999</v>
      </c>
      <c r="I16" s="30">
        <f>(H16+H17)/2</f>
        <v>159.375</v>
      </c>
      <c r="J16" s="30">
        <f>(H21+H12)/2</f>
        <v>115.22499999999999</v>
      </c>
      <c r="K16" s="26">
        <f>(H18+H15)/2</f>
        <v>185.45</v>
      </c>
      <c r="L16" s="26">
        <f>(H20+H13)/2</f>
        <v>213.67500000000001</v>
      </c>
      <c r="M16" s="26">
        <f>(H23+H11)/2</f>
        <v>245.65</v>
      </c>
      <c r="N16" s="26">
        <f>(H25+H9)/2</f>
        <v>278.22500000000002</v>
      </c>
      <c r="O16" s="26">
        <f>(H22+H10)/2</f>
        <v>96.55</v>
      </c>
      <c r="P16" s="37">
        <f>(H24+H8)/2</f>
        <v>80.775000000000006</v>
      </c>
      <c r="Q16" s="12">
        <f>(H16/4)</f>
        <v>35.799999999999997</v>
      </c>
      <c r="R16" s="12">
        <f t="shared" si="0"/>
        <v>128.88</v>
      </c>
      <c r="S16" s="12">
        <f t="shared" si="1"/>
        <v>14.319999999999993</v>
      </c>
      <c r="T16" s="12">
        <f t="shared" si="2"/>
        <v>141.768</v>
      </c>
      <c r="U16" s="12">
        <f t="shared" si="3"/>
        <v>1.4319999999999879</v>
      </c>
      <c r="V16" s="41">
        <v>15</v>
      </c>
      <c r="Y16" s="104">
        <f t="shared" si="5"/>
        <v>23600</v>
      </c>
      <c r="Z16">
        <f>H16</f>
        <v>143.19999999999999</v>
      </c>
      <c r="AA16" s="12"/>
      <c r="AB16" s="12"/>
      <c r="AC16" s="111">
        <f t="shared" si="6"/>
        <v>115.22499999999999</v>
      </c>
      <c r="AD16" s="14">
        <f t="shared" ref="AD16" si="13">(H14+H19)/2</f>
        <v>136.4</v>
      </c>
      <c r="AE16" s="13">
        <f t="shared" si="7"/>
        <v>159.375</v>
      </c>
      <c r="AF16" s="114">
        <f t="shared" si="8"/>
        <v>185.45</v>
      </c>
      <c r="AG16" s="115">
        <f t="shared" si="8"/>
        <v>213.67500000000001</v>
      </c>
      <c r="AH16" s="116">
        <f t="shared" si="8"/>
        <v>245.65</v>
      </c>
      <c r="AI16" s="117">
        <f t="shared" si="8"/>
        <v>278.22500000000002</v>
      </c>
    </row>
    <row r="17" spans="1:35" ht="28.2" thickBot="1">
      <c r="A17" s="72" t="s">
        <v>0</v>
      </c>
      <c r="B17" s="73">
        <v>46161</v>
      </c>
      <c r="C17" s="72" t="s">
        <v>1</v>
      </c>
      <c r="D17" s="74">
        <v>23600</v>
      </c>
      <c r="E17" s="72">
        <v>260</v>
      </c>
      <c r="F17" s="72">
        <v>330.6</v>
      </c>
      <c r="G17" s="72">
        <v>150.85</v>
      </c>
      <c r="H17" s="97">
        <v>175.55</v>
      </c>
      <c r="I17" s="30">
        <f>(H16+H17)/2</f>
        <v>159.375</v>
      </c>
      <c r="J17" s="30">
        <f>(H21+H12)/2</f>
        <v>115.22499999999999</v>
      </c>
      <c r="K17" s="26">
        <f>(H18+H15)/2</f>
        <v>185.45</v>
      </c>
      <c r="L17" s="26">
        <f>(H20+H13)/2</f>
        <v>213.67500000000001</v>
      </c>
      <c r="M17" s="26">
        <f>(H23+H11)/2</f>
        <v>245.65</v>
      </c>
      <c r="N17" s="26">
        <f>(H25+H9)/2</f>
        <v>278.22500000000002</v>
      </c>
      <c r="O17" s="26">
        <f>(H22+H10)/2</f>
        <v>96.55</v>
      </c>
      <c r="P17" s="37">
        <f>(H24+H8)/2</f>
        <v>80.775000000000006</v>
      </c>
      <c r="Q17" s="12">
        <f>(H17)/4</f>
        <v>43.887500000000003</v>
      </c>
      <c r="R17" s="12">
        <f t="shared" si="0"/>
        <v>157.995</v>
      </c>
      <c r="S17" s="12">
        <f t="shared" si="1"/>
        <v>17.555000000000007</v>
      </c>
      <c r="T17" s="12">
        <f t="shared" si="2"/>
        <v>173.7945</v>
      </c>
      <c r="U17" s="12">
        <f t="shared" si="3"/>
        <v>1.7555000000000121</v>
      </c>
      <c r="V17" s="41">
        <v>16</v>
      </c>
      <c r="X17">
        <f>H17</f>
        <v>175.55</v>
      </c>
      <c r="Y17" s="104">
        <f t="shared" si="5"/>
        <v>23600</v>
      </c>
      <c r="AA17" s="12"/>
      <c r="AB17" s="12"/>
      <c r="AC17" s="111">
        <f t="shared" si="6"/>
        <v>115.22499999999999</v>
      </c>
      <c r="AD17" s="14">
        <f t="shared" ref="AD17" si="14">(H14+H19)/2</f>
        <v>136.4</v>
      </c>
      <c r="AE17" s="13">
        <f t="shared" si="7"/>
        <v>159.375</v>
      </c>
      <c r="AF17" s="114">
        <f t="shared" si="8"/>
        <v>185.45</v>
      </c>
      <c r="AG17" s="115">
        <f t="shared" si="8"/>
        <v>213.67500000000001</v>
      </c>
      <c r="AH17" s="116">
        <f t="shared" si="8"/>
        <v>245.65</v>
      </c>
      <c r="AI17" s="117">
        <f t="shared" si="8"/>
        <v>278.22500000000002</v>
      </c>
    </row>
    <row r="18" spans="1:35" ht="28.2" thickBot="1">
      <c r="A18" s="72" t="s">
        <v>0</v>
      </c>
      <c r="B18" s="73">
        <v>46161</v>
      </c>
      <c r="C18" s="72" t="s">
        <v>20</v>
      </c>
      <c r="D18" s="74">
        <v>23650</v>
      </c>
      <c r="E18" s="72">
        <v>135</v>
      </c>
      <c r="F18" s="72">
        <v>204.3</v>
      </c>
      <c r="G18" s="72">
        <v>92.9</v>
      </c>
      <c r="H18" s="97">
        <v>166.7</v>
      </c>
      <c r="I18" s="30">
        <f>(H18+H19)/2</f>
        <v>158.52499999999998</v>
      </c>
      <c r="J18" s="30">
        <f>(H22+H14)/2</f>
        <v>113.97499999999999</v>
      </c>
      <c r="K18" s="26">
        <f>(H20+H15)/2</f>
        <v>198.14999999999998</v>
      </c>
      <c r="L18" s="26">
        <f>(H23+H15)/2</f>
        <v>213.1</v>
      </c>
      <c r="M18" s="26">
        <f>(H25+H13)/2</f>
        <v>244.2</v>
      </c>
      <c r="N18" s="26">
        <f>(H27+H11)/2</f>
        <v>278.14999999999998</v>
      </c>
      <c r="O18" s="26">
        <f>(H24+H12)/2</f>
        <v>95.65</v>
      </c>
      <c r="P18" s="37">
        <f>(H26+H10)/2</f>
        <v>79.75</v>
      </c>
      <c r="Q18" s="12">
        <f>(H18/4)</f>
        <v>41.674999999999997</v>
      </c>
      <c r="R18" s="12">
        <f t="shared" si="0"/>
        <v>150.02999999999997</v>
      </c>
      <c r="S18" s="12">
        <f t="shared" si="1"/>
        <v>16.670000000000016</v>
      </c>
      <c r="T18" s="12">
        <f t="shared" si="2"/>
        <v>165.03299999999999</v>
      </c>
      <c r="U18" s="12">
        <f t="shared" si="3"/>
        <v>1.6670000000000016</v>
      </c>
      <c r="V18" s="41">
        <v>17</v>
      </c>
      <c r="Y18" s="104">
        <f t="shared" si="5"/>
        <v>23650</v>
      </c>
      <c r="Z18">
        <f>H18</f>
        <v>166.7</v>
      </c>
      <c r="AA18" s="12"/>
      <c r="AB18" s="12"/>
      <c r="AC18" s="111">
        <f t="shared" si="6"/>
        <v>113.97499999999999</v>
      </c>
      <c r="AD18" s="14">
        <f t="shared" ref="AD18" si="15">(H16+H21)/2</f>
        <v>134.97499999999999</v>
      </c>
      <c r="AE18" s="13">
        <f t="shared" si="7"/>
        <v>158.52499999999998</v>
      </c>
      <c r="AF18" s="114">
        <f t="shared" si="8"/>
        <v>198.14999999999998</v>
      </c>
      <c r="AG18" s="115">
        <f t="shared" si="8"/>
        <v>213.1</v>
      </c>
      <c r="AH18" s="116">
        <f t="shared" si="8"/>
        <v>244.2</v>
      </c>
      <c r="AI18" s="117">
        <f t="shared" si="8"/>
        <v>278.14999999999998</v>
      </c>
    </row>
    <row r="19" spans="1:35" ht="28.2" thickBot="1">
      <c r="A19" s="72" t="s">
        <v>0</v>
      </c>
      <c r="B19" s="73">
        <v>46161</v>
      </c>
      <c r="C19" s="72" t="s">
        <v>1</v>
      </c>
      <c r="D19" s="74">
        <v>23650</v>
      </c>
      <c r="E19" s="72">
        <v>210</v>
      </c>
      <c r="F19" s="72">
        <v>295</v>
      </c>
      <c r="G19" s="72">
        <v>127.05</v>
      </c>
      <c r="H19" s="97">
        <v>150.35</v>
      </c>
      <c r="I19" s="30">
        <f>(H18+H19)/2</f>
        <v>158.52499999999998</v>
      </c>
      <c r="J19" s="30">
        <f>(H22+H14)/2</f>
        <v>113.97499999999999</v>
      </c>
      <c r="K19" s="26">
        <f>(H20+H15)/2</f>
        <v>198.14999999999998</v>
      </c>
      <c r="L19" s="26">
        <f>(H23+H15)/2</f>
        <v>213.1</v>
      </c>
      <c r="M19" s="26">
        <f>(H25+H13)/2</f>
        <v>244.2</v>
      </c>
      <c r="N19" s="26">
        <f>(H27+H11)/2</f>
        <v>278.14999999999998</v>
      </c>
      <c r="O19" s="26">
        <f>(H24+H12)/2</f>
        <v>95.65</v>
      </c>
      <c r="P19" s="37">
        <f>(H26+H10)/2</f>
        <v>79.75</v>
      </c>
      <c r="Q19" s="12">
        <f>(H19)/4</f>
        <v>37.587499999999999</v>
      </c>
      <c r="R19" s="12">
        <f t="shared" si="0"/>
        <v>135.315</v>
      </c>
      <c r="S19" s="12">
        <f t="shared" si="1"/>
        <v>15.034999999999997</v>
      </c>
      <c r="T19" s="12">
        <f t="shared" si="2"/>
        <v>148.84649999999999</v>
      </c>
      <c r="U19" s="12">
        <f t="shared" si="3"/>
        <v>1.5035000000000025</v>
      </c>
      <c r="V19" s="41">
        <v>18</v>
      </c>
      <c r="X19">
        <f>H19</f>
        <v>150.35</v>
      </c>
      <c r="Y19" s="104">
        <f t="shared" si="5"/>
        <v>23650</v>
      </c>
      <c r="AA19" s="12"/>
      <c r="AB19" s="12"/>
      <c r="AC19" s="111">
        <f t="shared" si="6"/>
        <v>113.97499999999999</v>
      </c>
      <c r="AD19" s="14">
        <f t="shared" ref="AD19" si="16">(H16+H21)/2</f>
        <v>134.97499999999999</v>
      </c>
      <c r="AE19" s="13">
        <f t="shared" si="7"/>
        <v>158.52499999999998</v>
      </c>
      <c r="AF19" s="114">
        <f t="shared" si="8"/>
        <v>198.14999999999998</v>
      </c>
      <c r="AG19" s="115">
        <f t="shared" si="8"/>
        <v>213.1</v>
      </c>
      <c r="AH19" s="116">
        <f t="shared" si="8"/>
        <v>244.2</v>
      </c>
      <c r="AI19" s="117">
        <f t="shared" si="8"/>
        <v>278.14999999999998</v>
      </c>
    </row>
    <row r="20" spans="1:35" ht="28.2" thickBot="1">
      <c r="A20" s="72" t="s">
        <v>0</v>
      </c>
      <c r="B20" s="73">
        <v>46161</v>
      </c>
      <c r="C20" s="72" t="s">
        <v>20</v>
      </c>
      <c r="D20" s="74">
        <v>23700</v>
      </c>
      <c r="E20" s="72">
        <v>155</v>
      </c>
      <c r="F20" s="72">
        <v>232.4</v>
      </c>
      <c r="G20" s="72">
        <v>108.65</v>
      </c>
      <c r="H20" s="97">
        <v>192.1</v>
      </c>
      <c r="I20" s="43">
        <f>(H20+H21)/2</f>
        <v>159.42500000000001</v>
      </c>
      <c r="J20">
        <f>(H24+H16)/2</f>
        <v>115.39999999999999</v>
      </c>
      <c r="K20">
        <f>(H23+H19)/2</f>
        <v>186.17500000000001</v>
      </c>
      <c r="L20">
        <f>(H25+H17)/2</f>
        <v>214.35000000000002</v>
      </c>
      <c r="M20">
        <f>(H27+H15)/2</f>
        <v>245.6</v>
      </c>
      <c r="N20">
        <f>(H29+H13)/2</f>
        <v>279.625</v>
      </c>
      <c r="O20">
        <f>(H26+H14)/2</f>
        <v>97.175000000000011</v>
      </c>
      <c r="P20">
        <f>(H28+H12)/2</f>
        <v>80.95</v>
      </c>
      <c r="Q20" s="12">
        <f>(H20/4)</f>
        <v>48.024999999999999</v>
      </c>
      <c r="R20" s="12">
        <f t="shared" si="0"/>
        <v>172.89000000000001</v>
      </c>
      <c r="S20" s="12">
        <f t="shared" si="1"/>
        <v>19.20999999999998</v>
      </c>
      <c r="T20" s="12">
        <f t="shared" si="2"/>
        <v>190.179</v>
      </c>
      <c r="U20" s="12">
        <f t="shared" si="3"/>
        <v>1.9209999999999923</v>
      </c>
      <c r="V20" s="41">
        <v>19</v>
      </c>
      <c r="Y20" s="104">
        <f t="shared" si="5"/>
        <v>23700</v>
      </c>
      <c r="Z20">
        <f>H20</f>
        <v>192.1</v>
      </c>
      <c r="AA20" s="12"/>
      <c r="AB20" s="12"/>
      <c r="AC20" s="111">
        <f t="shared" si="6"/>
        <v>115.39999999999999</v>
      </c>
      <c r="AD20" s="14">
        <f>(H18+H22)/2</f>
        <v>136.1</v>
      </c>
      <c r="AE20" s="13">
        <f t="shared" si="7"/>
        <v>159.42500000000001</v>
      </c>
      <c r="AF20" s="114">
        <f t="shared" si="8"/>
        <v>186.17500000000001</v>
      </c>
      <c r="AG20" s="115">
        <f t="shared" si="8"/>
        <v>214.35000000000002</v>
      </c>
      <c r="AH20" s="116">
        <f t="shared" si="8"/>
        <v>245.6</v>
      </c>
      <c r="AI20" s="117">
        <f t="shared" si="8"/>
        <v>279.625</v>
      </c>
    </row>
    <row r="21" spans="1:35" ht="28.2" thickBot="1">
      <c r="A21" s="100" t="s">
        <v>0</v>
      </c>
      <c r="B21" s="101">
        <v>46161</v>
      </c>
      <c r="C21" s="100" t="s">
        <v>1</v>
      </c>
      <c r="D21" s="102">
        <v>23700</v>
      </c>
      <c r="E21" s="100">
        <v>200.75</v>
      </c>
      <c r="F21" s="100">
        <v>261.60000000000002</v>
      </c>
      <c r="G21" s="100">
        <v>105.8</v>
      </c>
      <c r="H21" s="100">
        <v>126.75</v>
      </c>
      <c r="I21" s="43">
        <f>(H20+H21)/2</f>
        <v>159.42500000000001</v>
      </c>
      <c r="J21" s="31">
        <f>(H24+H16)/2</f>
        <v>115.39999999999999</v>
      </c>
      <c r="K21" s="31">
        <f>(H23+H19)/2</f>
        <v>186.17500000000001</v>
      </c>
      <c r="L21" s="31">
        <f>(H25+H17)/2</f>
        <v>214.35000000000002</v>
      </c>
      <c r="M21" s="31">
        <f>(H27+H15)/2</f>
        <v>245.6</v>
      </c>
      <c r="N21" s="31">
        <f>(H29+H13)/2</f>
        <v>279.625</v>
      </c>
      <c r="O21" s="31">
        <f>(H26+H14)/2</f>
        <v>97.175000000000011</v>
      </c>
      <c r="P21" s="31">
        <f>(H28+H12)/2</f>
        <v>80.95</v>
      </c>
      <c r="Q21" s="12">
        <f t="shared" ref="Q21:Q22" si="17">(H21)/4</f>
        <v>31.6875</v>
      </c>
      <c r="R21" s="12">
        <f t="shared" si="0"/>
        <v>114.075</v>
      </c>
      <c r="S21" s="12">
        <f t="shared" si="1"/>
        <v>12.674999999999997</v>
      </c>
      <c r="T21" s="12">
        <f t="shared" si="2"/>
        <v>125.4825</v>
      </c>
      <c r="U21" s="12">
        <f t="shared" si="3"/>
        <v>1.2674999999999983</v>
      </c>
      <c r="V21" s="42">
        <v>20</v>
      </c>
      <c r="X21" s="105">
        <f>H21</f>
        <v>126.75</v>
      </c>
      <c r="Y21" s="106">
        <f t="shared" si="5"/>
        <v>23700</v>
      </c>
      <c r="Z21" s="105"/>
      <c r="AA21" s="110"/>
      <c r="AB21" s="12"/>
      <c r="AC21" s="111">
        <f t="shared" si="6"/>
        <v>115.39999999999999</v>
      </c>
      <c r="AD21" s="14">
        <f>(H18+H22)/2</f>
        <v>136.1</v>
      </c>
      <c r="AE21" s="13">
        <f t="shared" si="7"/>
        <v>159.42500000000001</v>
      </c>
      <c r="AF21" s="114">
        <f t="shared" si="8"/>
        <v>186.17500000000001</v>
      </c>
      <c r="AG21" s="115">
        <f t="shared" si="8"/>
        <v>214.35000000000002</v>
      </c>
      <c r="AH21" s="116">
        <f t="shared" si="8"/>
        <v>245.6</v>
      </c>
      <c r="AI21" s="117">
        <f t="shared" si="8"/>
        <v>279.625</v>
      </c>
    </row>
    <row r="22" spans="1:35" ht="28.2" thickBot="1">
      <c r="A22" s="72" t="s">
        <v>0</v>
      </c>
      <c r="B22" s="73">
        <v>46161</v>
      </c>
      <c r="C22" s="72" t="s">
        <v>1</v>
      </c>
      <c r="D22" s="74">
        <v>23750</v>
      </c>
      <c r="E22" s="72">
        <v>180</v>
      </c>
      <c r="F22" s="72">
        <v>229.3</v>
      </c>
      <c r="G22" s="72">
        <v>87.5</v>
      </c>
      <c r="H22" s="97">
        <v>105.5</v>
      </c>
      <c r="I22" s="35">
        <f>(H22+H23)/2</f>
        <v>163.75</v>
      </c>
      <c r="J22" s="35">
        <f>J23</f>
        <v>119.3</v>
      </c>
      <c r="K22" s="27">
        <f>(H25+H21)/2</f>
        <v>189.95</v>
      </c>
      <c r="L22" s="27">
        <f>(H27+H19)/2</f>
        <v>218.67500000000001</v>
      </c>
      <c r="M22" s="27">
        <f>(H29+H17)/2</f>
        <v>249.77500000000001</v>
      </c>
      <c r="N22" s="27">
        <f>(H31+H15)/2</f>
        <v>283.85000000000002</v>
      </c>
      <c r="O22" s="27">
        <f>(H28+H18)/2</f>
        <v>112.44999999999999</v>
      </c>
      <c r="P22" s="38">
        <f>(H30+H14)/2</f>
        <v>85.15</v>
      </c>
      <c r="Q22" s="12">
        <f t="shared" si="17"/>
        <v>26.375</v>
      </c>
      <c r="R22" s="12">
        <f t="shared" si="0"/>
        <v>94.949999999999989</v>
      </c>
      <c r="S22" s="12">
        <f t="shared" si="1"/>
        <v>10.550000000000011</v>
      </c>
      <c r="T22" s="12">
        <f t="shared" si="2"/>
        <v>104.44499999999999</v>
      </c>
      <c r="U22" s="12">
        <f t="shared" si="3"/>
        <v>1.0550000000000068</v>
      </c>
      <c r="V22" s="41">
        <v>21</v>
      </c>
      <c r="X22">
        <f>H22</f>
        <v>105.5</v>
      </c>
      <c r="Y22" s="104">
        <f t="shared" si="5"/>
        <v>23750</v>
      </c>
      <c r="AA22" s="12"/>
      <c r="AB22" s="12"/>
      <c r="AC22" s="111">
        <f t="shared" si="6"/>
        <v>119.3</v>
      </c>
      <c r="AD22" s="14">
        <f>(H20+H24)/2</f>
        <v>139.85</v>
      </c>
      <c r="AE22" s="13">
        <f t="shared" si="7"/>
        <v>163.75</v>
      </c>
      <c r="AF22" s="114">
        <f t="shared" si="8"/>
        <v>189.95</v>
      </c>
      <c r="AG22" s="115">
        <f t="shared" si="8"/>
        <v>218.67500000000001</v>
      </c>
      <c r="AH22" s="116">
        <f t="shared" si="8"/>
        <v>249.77500000000001</v>
      </c>
      <c r="AI22" s="117">
        <f t="shared" si="8"/>
        <v>283.85000000000002</v>
      </c>
    </row>
    <row r="23" spans="1:35" ht="28.2" thickBot="1">
      <c r="A23" s="72" t="s">
        <v>0</v>
      </c>
      <c r="B23" s="73">
        <v>46161</v>
      </c>
      <c r="C23" s="72" t="s">
        <v>20</v>
      </c>
      <c r="D23" s="74">
        <v>23750</v>
      </c>
      <c r="E23" s="72">
        <v>160.44999999999999</v>
      </c>
      <c r="F23" s="72">
        <v>263</v>
      </c>
      <c r="G23" s="72">
        <v>126</v>
      </c>
      <c r="H23" s="97">
        <v>222</v>
      </c>
      <c r="I23" s="35">
        <f>(H22+H23)/2</f>
        <v>163.75</v>
      </c>
      <c r="J23" s="35">
        <f>(H26+H18)/2</f>
        <v>119.3</v>
      </c>
      <c r="K23" s="27">
        <f>(H25+H21)/2</f>
        <v>189.95</v>
      </c>
      <c r="L23" s="27">
        <f>(H27+H19)/2</f>
        <v>218.67500000000001</v>
      </c>
      <c r="M23" s="27">
        <f>(H29+H17)/2</f>
        <v>249.77500000000001</v>
      </c>
      <c r="N23" s="27">
        <f>(H31+H15)/2</f>
        <v>283.85000000000002</v>
      </c>
      <c r="O23" s="27">
        <f>(H28+H18)/2</f>
        <v>112.44999999999999</v>
      </c>
      <c r="P23" s="38">
        <f>(H30+H14)/2</f>
        <v>85.15</v>
      </c>
      <c r="Q23" s="12">
        <f>(H23/4)</f>
        <v>55.5</v>
      </c>
      <c r="R23" s="12">
        <f t="shared" si="0"/>
        <v>199.8</v>
      </c>
      <c r="S23" s="12">
        <f t="shared" si="1"/>
        <v>22.199999999999989</v>
      </c>
      <c r="T23" s="12">
        <f t="shared" si="2"/>
        <v>219.78000000000003</v>
      </c>
      <c r="U23" s="12">
        <f t="shared" si="3"/>
        <v>2.2199999999999704</v>
      </c>
      <c r="V23" s="41">
        <v>22</v>
      </c>
      <c r="Y23" s="104">
        <f t="shared" si="5"/>
        <v>23750</v>
      </c>
      <c r="Z23">
        <f>H23</f>
        <v>222</v>
      </c>
      <c r="AA23" s="12"/>
      <c r="AB23" s="12"/>
      <c r="AC23" s="111">
        <f t="shared" si="6"/>
        <v>119.3</v>
      </c>
      <c r="AD23" s="14">
        <f>(H20+H24)/2</f>
        <v>139.85</v>
      </c>
      <c r="AE23" s="13">
        <f t="shared" si="7"/>
        <v>163.75</v>
      </c>
      <c r="AF23" s="114">
        <f t="shared" si="8"/>
        <v>189.95</v>
      </c>
      <c r="AG23" s="115">
        <f t="shared" si="8"/>
        <v>218.67500000000001</v>
      </c>
      <c r="AH23" s="116">
        <f t="shared" si="8"/>
        <v>249.77500000000001</v>
      </c>
      <c r="AI23" s="117">
        <f t="shared" si="8"/>
        <v>283.85000000000002</v>
      </c>
    </row>
    <row r="24" spans="1:35" ht="28.2" thickBot="1">
      <c r="A24" s="72" t="s">
        <v>0</v>
      </c>
      <c r="B24" s="73">
        <v>46161</v>
      </c>
      <c r="C24" s="72" t="s">
        <v>1</v>
      </c>
      <c r="D24" s="74">
        <v>23800</v>
      </c>
      <c r="E24" s="72">
        <v>130</v>
      </c>
      <c r="F24" s="72">
        <v>199</v>
      </c>
      <c r="G24" s="72">
        <v>71.650000000000006</v>
      </c>
      <c r="H24" s="97">
        <v>87.6</v>
      </c>
      <c r="I24" s="35">
        <f>(H24+H25)/2</f>
        <v>170.375</v>
      </c>
      <c r="J24" s="35">
        <f>(H28+H20)/2</f>
        <v>125.15</v>
      </c>
      <c r="K24" s="27">
        <f>(H27+H22)/2</f>
        <v>196.25</v>
      </c>
      <c r="L24" s="27">
        <f>(H29+H21)/2</f>
        <v>225.375</v>
      </c>
      <c r="M24" s="27">
        <f>(H31+H19)/2</f>
        <v>256.92500000000001</v>
      </c>
      <c r="N24" s="27">
        <f>(H33+H17)/2</f>
        <v>289.70000000000005</v>
      </c>
      <c r="O24" s="27">
        <f>(H30+H18)/2</f>
        <v>107.27499999999999</v>
      </c>
      <c r="P24" s="38">
        <f>(H32+H16)/2</f>
        <v>91.125</v>
      </c>
      <c r="Q24" s="12">
        <f>(H24)/4</f>
        <v>21.9</v>
      </c>
      <c r="R24" s="12">
        <f t="shared" si="0"/>
        <v>78.839999999999989</v>
      </c>
      <c r="S24" s="12">
        <f t="shared" si="1"/>
        <v>8.7600000000000051</v>
      </c>
      <c r="T24" s="12">
        <f t="shared" si="2"/>
        <v>86.72399999999999</v>
      </c>
      <c r="U24" s="12">
        <f t="shared" si="3"/>
        <v>0.87600000000000477</v>
      </c>
      <c r="V24" s="41">
        <v>23</v>
      </c>
      <c r="X24">
        <f>H24</f>
        <v>87.6</v>
      </c>
      <c r="Y24" s="104">
        <f t="shared" si="5"/>
        <v>23800</v>
      </c>
      <c r="AA24" s="12"/>
      <c r="AB24" s="12"/>
      <c r="AC24" s="111">
        <f t="shared" si="6"/>
        <v>125.15</v>
      </c>
      <c r="AD24" s="14">
        <f>(H23+H26)/2</f>
        <v>146.94999999999999</v>
      </c>
      <c r="AE24" s="13">
        <f t="shared" si="7"/>
        <v>170.375</v>
      </c>
      <c r="AF24" s="114">
        <f t="shared" si="8"/>
        <v>196.25</v>
      </c>
      <c r="AG24" s="115">
        <f t="shared" si="8"/>
        <v>225.375</v>
      </c>
      <c r="AH24" s="116">
        <f t="shared" si="8"/>
        <v>256.92500000000001</v>
      </c>
      <c r="AI24" s="117">
        <f t="shared" si="8"/>
        <v>289.70000000000005</v>
      </c>
    </row>
    <row r="25" spans="1:35" ht="28.2" thickBot="1">
      <c r="A25" s="72" t="s">
        <v>0</v>
      </c>
      <c r="B25" s="73">
        <v>46161</v>
      </c>
      <c r="C25" s="72" t="s">
        <v>20</v>
      </c>
      <c r="D25" s="74">
        <v>23800</v>
      </c>
      <c r="E25" s="72">
        <v>179.1</v>
      </c>
      <c r="F25" s="72">
        <v>296.7</v>
      </c>
      <c r="G25" s="72">
        <v>146.6</v>
      </c>
      <c r="H25" s="97">
        <v>253.15</v>
      </c>
      <c r="I25" s="35">
        <f>(H24+H25)/2</f>
        <v>170.375</v>
      </c>
      <c r="J25" s="35">
        <f>(H28+H20)/2</f>
        <v>125.15</v>
      </c>
      <c r="K25" s="27">
        <f>(H27+H22)/2</f>
        <v>196.25</v>
      </c>
      <c r="L25" s="27">
        <f>(H29+H21)/2</f>
        <v>225.375</v>
      </c>
      <c r="M25" s="27">
        <f>(H31+H19)/2</f>
        <v>256.92500000000001</v>
      </c>
      <c r="N25" s="27">
        <f>(H33+H17)/2</f>
        <v>289.70000000000005</v>
      </c>
      <c r="O25" s="27">
        <f>(H30+H18)/2</f>
        <v>107.27499999999999</v>
      </c>
      <c r="P25" s="38">
        <f>(H32+H16)/2</f>
        <v>91.125</v>
      </c>
      <c r="Q25" s="12">
        <f>(H25/4)</f>
        <v>63.287500000000001</v>
      </c>
      <c r="R25" s="12">
        <f t="shared" si="0"/>
        <v>227.83499999999998</v>
      </c>
      <c r="S25" s="12">
        <f t="shared" si="1"/>
        <v>25.315000000000026</v>
      </c>
      <c r="T25" s="12">
        <f t="shared" si="2"/>
        <v>250.61849999999998</v>
      </c>
      <c r="U25" s="12">
        <f t="shared" si="3"/>
        <v>2.5315000000000225</v>
      </c>
      <c r="V25" s="41">
        <v>24</v>
      </c>
      <c r="Y25" s="104">
        <f t="shared" si="5"/>
        <v>23800</v>
      </c>
      <c r="Z25">
        <f>H25</f>
        <v>253.15</v>
      </c>
      <c r="AA25" s="12"/>
      <c r="AB25" s="12"/>
      <c r="AC25" s="111">
        <f t="shared" si="6"/>
        <v>125.15</v>
      </c>
      <c r="AD25" s="14">
        <f>(H23+H26)/2</f>
        <v>146.94999999999999</v>
      </c>
      <c r="AE25" s="13">
        <f t="shared" si="7"/>
        <v>170.375</v>
      </c>
      <c r="AF25" s="114">
        <f t="shared" si="8"/>
        <v>196.25</v>
      </c>
      <c r="AG25" s="115">
        <f t="shared" si="8"/>
        <v>225.375</v>
      </c>
      <c r="AH25" s="116">
        <f t="shared" si="8"/>
        <v>256.92500000000001</v>
      </c>
      <c r="AI25" s="117">
        <f t="shared" si="8"/>
        <v>289.70000000000005</v>
      </c>
    </row>
    <row r="26" spans="1:35" ht="28.2" thickBot="1">
      <c r="A26" s="72" t="s">
        <v>0</v>
      </c>
      <c r="B26" s="73">
        <v>46161</v>
      </c>
      <c r="C26" s="72" t="s">
        <v>1</v>
      </c>
      <c r="D26" s="74">
        <v>23850</v>
      </c>
      <c r="E26" s="72">
        <v>103.9</v>
      </c>
      <c r="F26" s="72">
        <v>172</v>
      </c>
      <c r="G26" s="72">
        <v>58.35</v>
      </c>
      <c r="H26" s="97">
        <v>71.900000000000006</v>
      </c>
      <c r="I26" s="35">
        <f>(H26+H27)/2</f>
        <v>179.45</v>
      </c>
      <c r="J26" s="35">
        <f>(H30+H23)/2</f>
        <v>134.92500000000001</v>
      </c>
      <c r="K26" s="27">
        <f>(H29+H24)/2</f>
        <v>205.8</v>
      </c>
      <c r="L26" s="27">
        <f>(H31+H22)/2</f>
        <v>234.5</v>
      </c>
      <c r="M26" s="27">
        <f>(H33+H21)/2</f>
        <v>265.3</v>
      </c>
      <c r="N26" s="27">
        <f>(H35+H19)/2</f>
        <v>299.97500000000002</v>
      </c>
      <c r="O26" s="27">
        <f>(H32+H20)/2</f>
        <v>115.57499999999999</v>
      </c>
      <c r="P26" s="38">
        <f>(H34+H18)/2</f>
        <v>99</v>
      </c>
      <c r="Q26" s="12">
        <f>(H26)/4</f>
        <v>17.975000000000001</v>
      </c>
      <c r="R26" s="12">
        <f t="shared" si="0"/>
        <v>64.710000000000008</v>
      </c>
      <c r="S26" s="12">
        <f t="shared" si="1"/>
        <v>7.1899999999999977</v>
      </c>
      <c r="T26" s="12">
        <f t="shared" si="2"/>
        <v>71.181000000000012</v>
      </c>
      <c r="U26" s="12">
        <f t="shared" si="3"/>
        <v>0.71899999999999409</v>
      </c>
      <c r="V26" s="41">
        <v>25</v>
      </c>
      <c r="X26">
        <f>H26</f>
        <v>71.900000000000006</v>
      </c>
      <c r="Y26" s="104">
        <f t="shared" si="5"/>
        <v>23850</v>
      </c>
      <c r="AA26" s="12"/>
      <c r="AB26" s="12"/>
      <c r="AC26" s="111">
        <f t="shared" si="6"/>
        <v>134.92500000000001</v>
      </c>
      <c r="AD26" s="14">
        <f>(H25+H28)/2</f>
        <v>155.67500000000001</v>
      </c>
      <c r="AE26" s="13">
        <f t="shared" si="7"/>
        <v>179.45</v>
      </c>
      <c r="AF26" s="114">
        <f t="shared" si="8"/>
        <v>205.8</v>
      </c>
      <c r="AG26" s="115">
        <f t="shared" si="8"/>
        <v>234.5</v>
      </c>
      <c r="AH26" s="116">
        <f t="shared" si="8"/>
        <v>265.3</v>
      </c>
      <c r="AI26" s="117">
        <f t="shared" si="8"/>
        <v>299.97500000000002</v>
      </c>
    </row>
    <row r="27" spans="1:35" ht="28.2" thickBot="1">
      <c r="A27" s="72" t="s">
        <v>0</v>
      </c>
      <c r="B27" s="73">
        <v>46161</v>
      </c>
      <c r="C27" s="72" t="s">
        <v>20</v>
      </c>
      <c r="D27" s="74">
        <v>23850</v>
      </c>
      <c r="E27" s="72">
        <v>200</v>
      </c>
      <c r="F27" s="72">
        <v>332.6</v>
      </c>
      <c r="G27" s="72">
        <v>168.15</v>
      </c>
      <c r="H27" s="97">
        <v>287</v>
      </c>
      <c r="I27" s="35">
        <f>(H26+H27)/2</f>
        <v>179.45</v>
      </c>
      <c r="J27" s="35">
        <f>(H30+H23)/2</f>
        <v>134.92500000000001</v>
      </c>
      <c r="K27" s="27">
        <f>(H29+H24)/2</f>
        <v>205.8</v>
      </c>
      <c r="L27" s="27">
        <f>(H31+H22)/2</f>
        <v>234.5</v>
      </c>
      <c r="M27" s="27">
        <f>(H33+H21)/2</f>
        <v>265.3</v>
      </c>
      <c r="N27" s="27">
        <f>(H35+H19)/2</f>
        <v>299.97500000000002</v>
      </c>
      <c r="O27" s="27">
        <f>(H32+H20)/2</f>
        <v>115.57499999999999</v>
      </c>
      <c r="P27" s="38">
        <f>(H34+H18)/2</f>
        <v>99</v>
      </c>
      <c r="Q27" s="12">
        <f>(H27/4)</f>
        <v>71.75</v>
      </c>
      <c r="R27" s="12">
        <f t="shared" si="0"/>
        <v>258.3</v>
      </c>
      <c r="S27" s="12">
        <f t="shared" si="1"/>
        <v>28.699999999999989</v>
      </c>
      <c r="T27" s="12">
        <f t="shared" si="2"/>
        <v>284.13</v>
      </c>
      <c r="U27" s="12">
        <f t="shared" si="3"/>
        <v>2.8700000000000045</v>
      </c>
      <c r="V27" s="41">
        <v>26</v>
      </c>
      <c r="Y27" s="104">
        <f t="shared" si="5"/>
        <v>23850</v>
      </c>
      <c r="Z27">
        <f>H27</f>
        <v>287</v>
      </c>
      <c r="AA27" s="12"/>
      <c r="AB27" s="12"/>
      <c r="AC27" s="111">
        <f t="shared" si="6"/>
        <v>134.92500000000001</v>
      </c>
      <c r="AD27" s="14">
        <f>(H25+H28)/2</f>
        <v>155.67500000000001</v>
      </c>
      <c r="AE27" s="13">
        <f t="shared" si="7"/>
        <v>179.45</v>
      </c>
      <c r="AF27" s="114">
        <f t="shared" si="8"/>
        <v>205.8</v>
      </c>
      <c r="AG27" s="115">
        <f t="shared" si="8"/>
        <v>234.5</v>
      </c>
      <c r="AH27" s="116">
        <f t="shared" si="8"/>
        <v>265.3</v>
      </c>
      <c r="AI27" s="117">
        <f t="shared" si="8"/>
        <v>299.97500000000002</v>
      </c>
    </row>
    <row r="28" spans="1:35" ht="28.2" thickBot="1">
      <c r="A28" s="72" t="s">
        <v>0</v>
      </c>
      <c r="B28" s="73">
        <v>46161</v>
      </c>
      <c r="C28" s="72" t="s">
        <v>1</v>
      </c>
      <c r="D28" s="74">
        <v>23900</v>
      </c>
      <c r="E28" s="72">
        <v>88</v>
      </c>
      <c r="F28" s="72">
        <v>146.94999999999999</v>
      </c>
      <c r="G28" s="72">
        <v>46.95</v>
      </c>
      <c r="H28" s="97">
        <v>58.2</v>
      </c>
      <c r="I28" s="35">
        <f>(H28+H29)/2</f>
        <v>191.1</v>
      </c>
      <c r="J28" s="35">
        <f>(H32+H25)/2</f>
        <v>146.1</v>
      </c>
      <c r="K28" s="27">
        <f>(H31+H26)/2</f>
        <v>217.7</v>
      </c>
      <c r="L28" s="27">
        <f>(H33+H24)/2</f>
        <v>245.72500000000002</v>
      </c>
      <c r="M28" s="27">
        <f>(H35+H22)/2</f>
        <v>277.55</v>
      </c>
      <c r="N28" s="27">
        <f>(H37+H21)/2</f>
        <v>307.97500000000002</v>
      </c>
      <c r="O28" s="27">
        <f>(H34+H23)/2</f>
        <v>126.65</v>
      </c>
      <c r="P28" s="38">
        <f>(H36+H20)/2</f>
        <v>108.52499999999999</v>
      </c>
      <c r="Q28" s="12">
        <f>(H28)/4</f>
        <v>14.55</v>
      </c>
      <c r="R28" s="12">
        <f t="shared" si="0"/>
        <v>52.38000000000001</v>
      </c>
      <c r="S28" s="12">
        <f t="shared" si="1"/>
        <v>5.8199999999999932</v>
      </c>
      <c r="T28" s="12">
        <f t="shared" si="2"/>
        <v>57.618000000000009</v>
      </c>
      <c r="U28" s="12">
        <f t="shared" si="3"/>
        <v>0.58199999999999363</v>
      </c>
      <c r="V28" s="41">
        <v>27</v>
      </c>
      <c r="X28">
        <f>H28</f>
        <v>58.2</v>
      </c>
      <c r="Y28" s="104">
        <f t="shared" si="5"/>
        <v>23900</v>
      </c>
      <c r="AA28" s="12"/>
      <c r="AB28" s="12"/>
      <c r="AC28" s="111">
        <f t="shared" si="6"/>
        <v>146.1</v>
      </c>
      <c r="AD28" s="14">
        <f>(H27+H30)/2</f>
        <v>167.42500000000001</v>
      </c>
      <c r="AE28" s="13">
        <f t="shared" si="7"/>
        <v>191.1</v>
      </c>
      <c r="AF28" s="114">
        <f t="shared" si="8"/>
        <v>217.7</v>
      </c>
      <c r="AG28" s="115">
        <f t="shared" si="8"/>
        <v>245.72500000000002</v>
      </c>
      <c r="AH28" s="116">
        <f t="shared" si="8"/>
        <v>277.55</v>
      </c>
      <c r="AI28" s="117">
        <f t="shared" si="8"/>
        <v>307.97500000000002</v>
      </c>
    </row>
    <row r="29" spans="1:35" ht="28.2" thickBot="1">
      <c r="A29" s="72" t="s">
        <v>0</v>
      </c>
      <c r="B29" s="73">
        <v>46161</v>
      </c>
      <c r="C29" s="72" t="s">
        <v>20</v>
      </c>
      <c r="D29" s="74">
        <v>23900</v>
      </c>
      <c r="E29" s="72">
        <v>240</v>
      </c>
      <c r="F29" s="72">
        <v>370.55</v>
      </c>
      <c r="G29" s="72">
        <v>193</v>
      </c>
      <c r="H29" s="97">
        <v>324</v>
      </c>
      <c r="I29" s="35">
        <f>(H28+H29)/2</f>
        <v>191.1</v>
      </c>
      <c r="J29" s="35">
        <f>(H32+H25)/2</f>
        <v>146.1</v>
      </c>
      <c r="K29" s="27">
        <f>(H31+H26)/2</f>
        <v>217.7</v>
      </c>
      <c r="L29" s="27">
        <f>(H33+H24)/2</f>
        <v>245.72500000000002</v>
      </c>
      <c r="M29" s="27">
        <f>(H35+H22)/2</f>
        <v>277.55</v>
      </c>
      <c r="N29" s="27">
        <f>(H37+H21)/2</f>
        <v>307.97500000000002</v>
      </c>
      <c r="O29" s="27">
        <f>(H34+H23)/2</f>
        <v>126.65</v>
      </c>
      <c r="P29" s="38">
        <f>(H36+H20)/2</f>
        <v>108.52499999999999</v>
      </c>
      <c r="Q29" s="12">
        <f>(H29/4)</f>
        <v>81</v>
      </c>
      <c r="R29" s="12">
        <f t="shared" si="0"/>
        <v>291.60000000000002</v>
      </c>
      <c r="S29" s="12">
        <f t="shared" si="1"/>
        <v>32.399999999999977</v>
      </c>
      <c r="T29" s="12">
        <f t="shared" si="2"/>
        <v>320.76000000000005</v>
      </c>
      <c r="U29" s="12">
        <f t="shared" si="3"/>
        <v>3.2399999999999523</v>
      </c>
      <c r="V29" s="41">
        <v>28</v>
      </c>
      <c r="Y29" s="104">
        <f t="shared" si="5"/>
        <v>23900</v>
      </c>
      <c r="Z29">
        <f>H29</f>
        <v>324</v>
      </c>
      <c r="AA29" s="12"/>
      <c r="AB29" s="12"/>
      <c r="AC29" s="111">
        <f t="shared" si="6"/>
        <v>146.1</v>
      </c>
      <c r="AD29" s="14">
        <f>(H27+H30)/2</f>
        <v>167.42500000000001</v>
      </c>
      <c r="AE29" s="13">
        <f t="shared" si="7"/>
        <v>191.1</v>
      </c>
      <c r="AF29" s="114">
        <f t="shared" si="8"/>
        <v>217.7</v>
      </c>
      <c r="AG29" s="115">
        <f t="shared" si="8"/>
        <v>245.72500000000002</v>
      </c>
      <c r="AH29" s="116">
        <f t="shared" si="8"/>
        <v>277.55</v>
      </c>
      <c r="AI29" s="117">
        <f t="shared" si="8"/>
        <v>307.97500000000002</v>
      </c>
    </row>
    <row r="30" spans="1:35" ht="28.2" thickBot="1">
      <c r="A30" s="72" t="s">
        <v>0</v>
      </c>
      <c r="B30" s="73">
        <v>46161</v>
      </c>
      <c r="C30" s="72" t="s">
        <v>1</v>
      </c>
      <c r="D30" s="74">
        <v>23950</v>
      </c>
      <c r="E30" s="72">
        <v>83.75</v>
      </c>
      <c r="F30" s="72">
        <v>123.95</v>
      </c>
      <c r="G30" s="72">
        <v>37.9</v>
      </c>
      <c r="H30" s="97">
        <v>47.85</v>
      </c>
      <c r="I30" s="35">
        <f>(H30+H31)/2</f>
        <v>205.67500000000001</v>
      </c>
      <c r="J30" s="35">
        <f>(H34+H27)/2</f>
        <v>159.15</v>
      </c>
      <c r="K30" s="27">
        <f>(H33+H28)/2</f>
        <v>231.02500000000001</v>
      </c>
      <c r="L30" s="27">
        <f>(H35+H26)/2</f>
        <v>260.75</v>
      </c>
      <c r="M30" s="27">
        <f>(H37+H24)/2</f>
        <v>288.39999999999998</v>
      </c>
      <c r="N30" s="27"/>
      <c r="O30" s="27">
        <f>(H36+H25)/2</f>
        <v>139.05000000000001</v>
      </c>
      <c r="P30" s="38"/>
      <c r="Q30" s="12">
        <f>(H30)/4</f>
        <v>11.9625</v>
      </c>
      <c r="R30" s="12">
        <f t="shared" si="0"/>
        <v>43.065000000000005</v>
      </c>
      <c r="S30" s="12">
        <f t="shared" si="1"/>
        <v>4.7849999999999966</v>
      </c>
      <c r="T30" s="12">
        <f t="shared" si="2"/>
        <v>47.371500000000005</v>
      </c>
      <c r="U30" s="12">
        <f t="shared" si="3"/>
        <v>0.47849999999999682</v>
      </c>
      <c r="V30" s="41">
        <v>29</v>
      </c>
      <c r="X30">
        <f>H30</f>
        <v>47.85</v>
      </c>
      <c r="Y30" s="104">
        <f t="shared" si="5"/>
        <v>23950</v>
      </c>
      <c r="AA30" s="12"/>
      <c r="AB30" s="12"/>
      <c r="AC30" s="111">
        <f t="shared" si="6"/>
        <v>159.15</v>
      </c>
      <c r="AD30" s="14">
        <f>(H29+H32)/2</f>
        <v>181.52500000000001</v>
      </c>
      <c r="AE30" s="13">
        <f t="shared" si="7"/>
        <v>205.67500000000001</v>
      </c>
      <c r="AF30" s="114">
        <f t="shared" si="8"/>
        <v>231.02500000000001</v>
      </c>
      <c r="AG30" s="115">
        <f t="shared" si="8"/>
        <v>260.75</v>
      </c>
      <c r="AH30" s="116">
        <f t="shared" si="8"/>
        <v>288.39999999999998</v>
      </c>
      <c r="AI30" s="117">
        <f t="shared" si="8"/>
        <v>0</v>
      </c>
    </row>
    <row r="31" spans="1:35" ht="28.2" thickBot="1">
      <c r="A31" s="72" t="s">
        <v>0</v>
      </c>
      <c r="B31" s="73">
        <v>46161</v>
      </c>
      <c r="C31" s="72" t="s">
        <v>20</v>
      </c>
      <c r="D31" s="74">
        <v>23950</v>
      </c>
      <c r="E31" s="72">
        <v>256</v>
      </c>
      <c r="F31" s="72">
        <v>409.8</v>
      </c>
      <c r="G31" s="72">
        <v>222.55</v>
      </c>
      <c r="H31" s="97">
        <v>363.5</v>
      </c>
      <c r="I31" s="35">
        <f>(H30+H31)/2</f>
        <v>205.67500000000001</v>
      </c>
      <c r="J31" s="36">
        <f>(H34+H27)/2</f>
        <v>159.15</v>
      </c>
      <c r="K31" s="29">
        <f>(H33+H28)/2</f>
        <v>231.02500000000001</v>
      </c>
      <c r="L31" s="29">
        <f>(H35+H26)/2</f>
        <v>260.75</v>
      </c>
      <c r="M31" s="29">
        <f>(H37+H24)/2</f>
        <v>288.39999999999998</v>
      </c>
      <c r="N31" s="29"/>
      <c r="O31" s="29">
        <f>(H36+H25)/2</f>
        <v>139.05000000000001</v>
      </c>
      <c r="P31" s="39"/>
      <c r="Q31" s="12">
        <f>(H31/4)</f>
        <v>90.875</v>
      </c>
      <c r="R31" s="12">
        <f t="shared" si="0"/>
        <v>327.14999999999998</v>
      </c>
      <c r="S31" s="12">
        <f t="shared" si="1"/>
        <v>36.350000000000023</v>
      </c>
      <c r="T31" s="12">
        <f t="shared" si="2"/>
        <v>359.86499999999995</v>
      </c>
      <c r="U31" s="12">
        <f t="shared" si="3"/>
        <v>3.6350000000000477</v>
      </c>
      <c r="V31" s="41">
        <v>30</v>
      </c>
      <c r="Y31" s="104">
        <f t="shared" si="5"/>
        <v>23950</v>
      </c>
      <c r="Z31">
        <f>H31</f>
        <v>363.5</v>
      </c>
      <c r="AA31" s="12"/>
      <c r="AB31" s="12"/>
      <c r="AC31" s="111">
        <f t="shared" si="6"/>
        <v>159.15</v>
      </c>
      <c r="AD31" s="14">
        <f>(H29+H32)/2</f>
        <v>181.52500000000001</v>
      </c>
      <c r="AE31" s="13">
        <f t="shared" si="7"/>
        <v>205.67500000000001</v>
      </c>
      <c r="AF31" s="114">
        <f t="shared" si="8"/>
        <v>231.02500000000001</v>
      </c>
      <c r="AG31" s="115">
        <f t="shared" si="8"/>
        <v>260.75</v>
      </c>
      <c r="AH31" s="116">
        <f t="shared" si="8"/>
        <v>288.39999999999998</v>
      </c>
      <c r="AI31" s="117">
        <f t="shared" si="8"/>
        <v>0</v>
      </c>
    </row>
    <row r="32" spans="1:35" ht="28.2" thickBot="1">
      <c r="A32" s="72" t="s">
        <v>0</v>
      </c>
      <c r="B32" s="73">
        <v>46161</v>
      </c>
      <c r="C32" s="72" t="s">
        <v>1</v>
      </c>
      <c r="D32" s="74">
        <v>24000</v>
      </c>
      <c r="E32" s="72">
        <v>51</v>
      </c>
      <c r="F32" s="72">
        <v>103.9</v>
      </c>
      <c r="G32" s="72">
        <v>30.65</v>
      </c>
      <c r="H32" s="97">
        <v>39.049999999999997</v>
      </c>
      <c r="I32" s="43">
        <f>(H32+H33)/2</f>
        <v>221.45000000000002</v>
      </c>
      <c r="Q32" s="12">
        <f>(H32)/4</f>
        <v>9.7624999999999993</v>
      </c>
      <c r="R32" s="12">
        <f t="shared" si="0"/>
        <v>35.144999999999996</v>
      </c>
      <c r="S32" s="12">
        <f t="shared" si="1"/>
        <v>3.9050000000000011</v>
      </c>
      <c r="T32" s="12">
        <f t="shared" si="2"/>
        <v>38.659499999999994</v>
      </c>
      <c r="U32" s="12">
        <f t="shared" si="3"/>
        <v>0.39050000000000296</v>
      </c>
      <c r="V32" s="41">
        <v>31</v>
      </c>
    </row>
    <row r="33" spans="1:22" ht="21" customHeight="1" thickBot="1">
      <c r="A33" s="72" t="s">
        <v>0</v>
      </c>
      <c r="B33" s="73">
        <v>46161</v>
      </c>
      <c r="C33" s="72" t="s">
        <v>20</v>
      </c>
      <c r="D33" s="74">
        <v>24000</v>
      </c>
      <c r="E33" s="72">
        <v>349</v>
      </c>
      <c r="F33" s="72">
        <v>452.95</v>
      </c>
      <c r="G33" s="72">
        <v>251.8</v>
      </c>
      <c r="H33" s="97">
        <v>403.85</v>
      </c>
      <c r="I33" s="43">
        <f>(H32+H33)/2</f>
        <v>221.45000000000002</v>
      </c>
      <c r="Q33" s="12">
        <f>(H33/4)</f>
        <v>100.96250000000001</v>
      </c>
      <c r="R33" s="12">
        <f t="shared" si="0"/>
        <v>363.46499999999997</v>
      </c>
      <c r="S33" s="12">
        <f t="shared" si="1"/>
        <v>40.385000000000048</v>
      </c>
      <c r="T33" s="12">
        <f t="shared" si="2"/>
        <v>399.81150000000002</v>
      </c>
      <c r="U33" s="12">
        <f t="shared" si="3"/>
        <v>4.0384999999999991</v>
      </c>
      <c r="V33" s="41">
        <v>32</v>
      </c>
    </row>
    <row r="34" spans="1:22" ht="21" customHeight="1" thickBot="1">
      <c r="A34" s="72" t="s">
        <v>0</v>
      </c>
      <c r="B34" s="73">
        <v>46161</v>
      </c>
      <c r="C34" s="72" t="s">
        <v>1</v>
      </c>
      <c r="D34" s="74">
        <v>24050</v>
      </c>
      <c r="E34" s="72">
        <v>52.7</v>
      </c>
      <c r="F34" s="72">
        <v>86.5</v>
      </c>
      <c r="G34" s="72">
        <v>24.65</v>
      </c>
      <c r="H34" s="97">
        <v>31.3</v>
      </c>
      <c r="I34" s="43">
        <f>(H34+H35)/2</f>
        <v>240.45000000000002</v>
      </c>
      <c r="Q34" s="12">
        <f>(H34)/4</f>
        <v>7.8250000000000002</v>
      </c>
      <c r="R34" s="12">
        <f t="shared" si="0"/>
        <v>28.17</v>
      </c>
      <c r="S34" s="12">
        <f t="shared" si="1"/>
        <v>3.129999999999999</v>
      </c>
      <c r="T34" s="12">
        <f t="shared" si="2"/>
        <v>30.986999999999998</v>
      </c>
      <c r="U34" s="12">
        <f t="shared" si="3"/>
        <v>0.31300000000000239</v>
      </c>
      <c r="V34" s="41">
        <v>33</v>
      </c>
    </row>
    <row r="35" spans="1:22" ht="21" customHeight="1" thickBot="1">
      <c r="A35" s="72" t="s">
        <v>0</v>
      </c>
      <c r="B35" s="73">
        <v>46161</v>
      </c>
      <c r="C35" s="72" t="s">
        <v>20</v>
      </c>
      <c r="D35" s="74">
        <v>24050</v>
      </c>
      <c r="E35" s="72">
        <v>365</v>
      </c>
      <c r="F35" s="72">
        <v>495.4</v>
      </c>
      <c r="G35" s="72">
        <v>286.14999999999998</v>
      </c>
      <c r="H35" s="97">
        <v>449.6</v>
      </c>
      <c r="I35" s="43">
        <f>(H34+H35)/2</f>
        <v>240.45000000000002</v>
      </c>
      <c r="Q35" s="12">
        <f>(H35/4)</f>
        <v>112.4</v>
      </c>
      <c r="R35" s="12">
        <f t="shared" si="0"/>
        <v>404.64000000000004</v>
      </c>
      <c r="S35" s="12">
        <f t="shared" si="1"/>
        <v>44.95999999999998</v>
      </c>
      <c r="T35" s="12">
        <f t="shared" si="2"/>
        <v>445.10400000000004</v>
      </c>
      <c r="U35" s="12">
        <f t="shared" si="3"/>
        <v>4.4959999999999809</v>
      </c>
      <c r="V35" s="41">
        <v>34</v>
      </c>
    </row>
    <row r="36" spans="1:22" ht="21" customHeight="1" thickBot="1">
      <c r="A36" s="72" t="s">
        <v>0</v>
      </c>
      <c r="B36" s="73">
        <v>46161</v>
      </c>
      <c r="C36" s="72" t="s">
        <v>1</v>
      </c>
      <c r="D36" s="74">
        <v>24100</v>
      </c>
      <c r="E36" s="72">
        <v>45</v>
      </c>
      <c r="F36" s="72">
        <v>70.8</v>
      </c>
      <c r="G36" s="72">
        <v>19.95</v>
      </c>
      <c r="H36" s="97">
        <v>24.95</v>
      </c>
      <c r="I36" s="43">
        <f>(H36+H37)/2</f>
        <v>257.07499999999999</v>
      </c>
      <c r="Q36" s="12">
        <f>(H36)/4</f>
        <v>6.2374999999999998</v>
      </c>
      <c r="R36" s="12">
        <f t="shared" si="0"/>
        <v>22.454999999999998</v>
      </c>
      <c r="S36" s="12">
        <f t="shared" si="1"/>
        <v>2.495000000000001</v>
      </c>
      <c r="T36" s="12">
        <f t="shared" si="2"/>
        <v>24.700500000000002</v>
      </c>
      <c r="U36" s="12">
        <f t="shared" si="3"/>
        <v>0.24949999999999761</v>
      </c>
      <c r="V36" s="41">
        <v>35</v>
      </c>
    </row>
    <row r="37" spans="1:22" ht="21" customHeight="1" thickBot="1">
      <c r="A37" s="72" t="s">
        <v>0</v>
      </c>
      <c r="B37" s="73">
        <v>46161</v>
      </c>
      <c r="C37" s="72" t="s">
        <v>20</v>
      </c>
      <c r="D37" s="74">
        <v>24100</v>
      </c>
      <c r="E37" s="72">
        <v>420</v>
      </c>
      <c r="F37" s="72">
        <v>540</v>
      </c>
      <c r="G37" s="72">
        <v>322</v>
      </c>
      <c r="H37" s="97">
        <v>489.2</v>
      </c>
      <c r="I37" s="43">
        <f>(H36+H37)/2</f>
        <v>257.07499999999999</v>
      </c>
      <c r="Q37" s="12">
        <f>(H37/4)</f>
        <v>122.3</v>
      </c>
      <c r="R37" s="12">
        <f t="shared" si="0"/>
        <v>440.28</v>
      </c>
      <c r="S37" s="12">
        <f t="shared" si="1"/>
        <v>48.920000000000016</v>
      </c>
      <c r="T37" s="12">
        <f t="shared" si="2"/>
        <v>484.30799999999994</v>
      </c>
      <c r="U37" s="12">
        <f t="shared" si="3"/>
        <v>4.8920000000000528</v>
      </c>
      <c r="V37" s="41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 Ready Made Data</vt:lpstr>
      <vt:lpstr>OPEN PRICE </vt:lpstr>
      <vt:lpstr>OPEN PRICE 2</vt:lpstr>
      <vt:lpstr>CLOSE PRICE</vt:lpstr>
      <vt:lpstr>OPEN PRICE DTA</vt:lpstr>
      <vt:lpstr>CLOSE PROCE DATA</vt:lpstr>
      <vt:lpstr>MODEL LATEST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Sundaresa Guptha</cp:lastModifiedBy>
  <cp:lastPrinted>2025-12-21T10:55:32Z</cp:lastPrinted>
  <dcterms:created xsi:type="dcterms:W3CDTF">2025-12-07T11:58:01Z</dcterms:created>
  <dcterms:modified xsi:type="dcterms:W3CDTF">2026-07-31T12:43:03Z</dcterms:modified>
</cp:coreProperties>
</file>